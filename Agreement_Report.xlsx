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de\Downloads\"/>
    </mc:Choice>
  </mc:AlternateContent>
  <xr:revisionPtr revIDLastSave="0" documentId="13_ncr:1_{968CD070-0C3C-45AD-BAD5-04A41A1C7024}" xr6:coauthVersionLast="47" xr6:coauthVersionMax="47" xr10:uidLastSave="{00000000-0000-0000-0000-000000000000}"/>
  <bookViews>
    <workbookView xWindow="-120" yWindow="-120" windowWidth="29040" windowHeight="15720" tabRatio="500" activeTab="1" xr2:uid="{00000000-000D-0000-FFFF-FFFF00000000}"/>
  </bookViews>
  <sheets>
    <sheet name="Agreement" sheetId="1" r:id="rId1"/>
    <sheet name="Labels_150"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6" i="1" l="1"/>
  <c r="B15" i="1"/>
  <c r="B17" i="1" s="1"/>
  <c r="D11" i="1"/>
  <c r="C11" i="1"/>
  <c r="B11" i="1"/>
  <c r="D10" i="1"/>
  <c r="C10" i="1"/>
  <c r="B10" i="1"/>
  <c r="D9" i="1"/>
  <c r="C9" i="1"/>
  <c r="B9" i="1"/>
  <c r="D8" i="1"/>
  <c r="C8" i="1"/>
  <c r="B8" i="1"/>
  <c r="D7" i="1"/>
  <c r="C7" i="1"/>
  <c r="B7" i="1"/>
  <c r="D6" i="1"/>
  <c r="C6" i="1"/>
  <c r="B6" i="1"/>
  <c r="D5" i="1"/>
  <c r="C5" i="1"/>
  <c r="B5" i="1"/>
  <c r="D4" i="1"/>
  <c r="C4" i="1"/>
  <c r="B4" i="1"/>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<sst xmlns="http://schemas.openxmlformats.org/spreadsheetml/2006/main" count="621" uniqueCount="171">
  <si>
    <t>Category</t>
  </si>
  <si>
    <t>Count (Ryan)</t>
  </si>
  <si>
    <t>Count (Randy)</t>
  </si>
  <si>
    <t>Agreed</t>
  </si>
  <si>
    <t>Bank account or service</t>
  </si>
  <si>
    <t>Credit card</t>
  </si>
  <si>
    <t>Consumer loan</t>
  </si>
  <si>
    <t>Mortgage</t>
  </si>
  <si>
    <t>Credit reporting</t>
  </si>
  <si>
    <t>Debt collection</t>
  </si>
  <si>
    <t>Money transfer or service</t>
  </si>
  <si>
    <t>Other / None</t>
  </si>
  <si>
    <t>Tickets labelled by both (N)</t>
  </si>
  <si>
    <t>Agreements</t>
  </si>
  <si>
    <t>Disagreements</t>
  </si>
  <si>
    <t>ticket_number</t>
  </si>
  <si>
    <t>narrative</t>
  </si>
  <si>
    <t>label 1</t>
  </si>
  <si>
    <t>label 2</t>
  </si>
  <si>
    <t>match</t>
  </si>
  <si>
    <t>proposed_final_label</t>
  </si>
  <si>
    <t>In XXXX, I was taking XXXX 's level classes using my GI benefits through the Department of Veterans Affairs. Due to multiple XXXX  while on XXXX XXXX, I was forced to withdraw from the courses. I was told by XXXX University that I would not be charged any fees due to my extenuating circumstances. Several months passed and I received a packet of undelivered letters from the VA, despite receiving other mail from them in the meantime. This packet said that I had a payment due that was now in collections. After many conversations between the VA and XXXX, a miscommunication was found between those two parties, and everything was supposed to be cleared as of XX/XX/XXXX. I checked my credit report in XX/XX/XXXX and found that there was nearly 18 months of collections on my account, ending in XX/XX/XXXX, for this miscommunication between the VA and XXXX. I wanted to have that removed from my credit report so I submitted a dispute through Experian in XX/XX/XXXX explaining my situation and asking that those months of collections be removed. At the end of XXXX, I received a response that all the months of collections had been removed as I had asked, but now it was showing the account was in collections for only the month of XX/XX/XXXX. This makes absolutely no sense as they previously had the collections ending in XX/XX/XXXX when the issue was resolved. I reached out via phone to address this new issue, and they were not able to assist and suggested I submit a new dispute. I did this in early XX/XX/XXXX. I recently received the results of this second dispute, and it appears that Experian removed the collections flag from XX/XX/XXXX, but now has it in collections for only XX/XX/XXXX. I am unsure what to do at this point as I have reached out via phone and electronic dispute and can not resolve this issue. It has dropped my credit score nearly 30 points in the past two months because of their errors.</t>
  </si>
  <si>
    <t>On XXXX XXXX XXXX I attempted to purchase a vehicle from XXXX of XXXX XXXX, and XXXX, XXXX dealership . I remained at the dealership for approximately eight ( 8 ) hours, completed negotiations, and signe3d purchase and finance documents for a XXXX XXXXXXXX XXXX. I was expressly told that Westlake Financial was the lender associated with my transaction. XXXX provided written financing worksheets quoting specific APR 's and payment amounts. XXXX also provided a document titled " Credit Score and the Price You Pay for Credit, '' stating that my XXXX credit score was " not available. '' Despite this, XXXX requested and transmitted my Social Security number, submitted my application to lenders, and represented that financing was proceeding. I was never issued a denial, conditional denial, or adverse action notice. After I had signed documents and waited several hours, XXXX abruptly required me to leave, claiming that the vehicle had been sold to another buyer paying cash. This explanation occurred after lender involvement and document execution. Following this, XXXX refused to provide copies of documents I signed and refused to disclose how my personal and financial information was used or transmitted. This conduct violates federal consumer-credit laws : 1. Failure to provide an adverse action notice - after terminating or refusing to consummate a credit transaction ( ECOA, 15 U.S.C. 1691 ( d ) ). 2. Use of consumer credit information without transparent disclosure and failure to provide post-use disclosure3s ( FCRA, 15 U.S.C. 1681 B, 1681M ) 3. Deceptive and abusive practices, including pretextual explanations to avoid required notices and withholding consumer records ( CFPA, 12 U.S.C. 5531, 5536 ). XXXX and its partners used my credit information, identified a lender, quoted loan terms, and then concealed the credit outcome while retaining my personal data.</t>
  </si>
  <si>
    <t>I am writing to dispute an unauthorized bank account listed under my name and Social Security number. According to 15 U.S.C. 1681b of the Fair Credit Reporting Act ( FCRA ), consumer reports may only be accessed for specific permissible purposes and with the consumer 's knowledge or consent. 
I did not open any bank account associated with Wells Fargo nor did I authorize XXXX XXXX XXXX XXXX XXXX or any affiliated financial institution to access or use my consumer information in connection with this account. This is a serious matter, as it may indicate identity theft or unauthorized use of my personal information.Because this inquiry was made without a permissible purpose as defined under federal law, I am requesting that you immediately remove any unauthorized accounts and related inquiries associated with my name. This is a private communication. I reserve all rights.</t>
  </si>
  <si>
    <t>I pay mortgage on XX/XX/XXXX for XXXX for the month of XXXX they said i should have pay XXXX in XXXX if you look at my new Escrow payment it said that my new payment started in XX/XX/XXXX XXXX that because they never deduct XXXX dollar that they took out for Escrow started at XX/XX/XXXX and the new Escrow payment of {$810.00} that I pay off on XX/XX/XXXX they never deduct the {$67.00} from my Escrow my new mortgage payment should be XXXX not XXXX they are only making me late on my mortgage because of this</t>
  </si>
  <si>
    <t>REFERENCE # XXXX I was a victim of identity theft six-seven years ago the accounting question with XXXX was discovered to be fraudulent never used by me did not belong to me yes the information was similar that's why it's called identity theft XXXX recognize this they closed the account it was never reported to any of the major credit bureaus once it was discovered what it happened police reports were filed multiple letters were sent back and forth and everything was eventually resolved until about a month ago when I received the first letter from this company stating I owed them a debt I immediately sent a letter explaining what I just explained I told them unless they had some proof which I knew they wouldn't to stop all further Communications with me that I had no intentions on paying them any money they sent me another letter helping this was their proof it's just some printing information there's absolutely nothing here that we didn't already know it shows XXXX shows an account number show the balance well yes nobody 's disputing that the account was opened it just wasn't open by me and Everyone except for this company seems to understand that I don't feel they're taking this matter seriously but when you start reporting it to the credit bureaus and you start affecting my credit score it becomes a serious issue</t>
  </si>
  <si>
    <t>Discover Bank initiated and authorized a {$21000.00} fraudulent wire transfer with no attempt to contact or approve the transfer with myself or my husband who is a joint owner. We did nothing to initiate this transfer and only learned of it after logging in to our bank account. Someone was able to hack in to our account and change our personal information. We received no notification of suspicious activity and no recourse from Discover at all.</t>
  </si>
  <si>
    <t>In XXXX or XXXX of 2015 Macy 's changed their credit card from a XXXX to an XXXX card. At the time, we had the XXXX card set up on our Bill Pay system. As our use of this card is occasional and only used at Macy 's, we depended on the Bill Pay process and paid when notified a bill was due. When the account changed to XXXX, apparently the bill pay information did not transfer. This would have been OK, assuming that they notified us via email or with a paper statement that an amount was due. Last night, our card was declined at Macy 's and we were informed that we were overdue and owed {$480.00} dollars, including late fees and finance charges of {$120.00}! When we called, we were offered a relief of {$38.00} dollars, which we declined and disputed the fee. When asked how the billing statement was delivered, the agent said via email. When asked what email was used, the agent could not cite the email. Effectively, we were not billed or notified that we were behind payments in any way. If we had not attempted to use the card, the charges would have continued to accrue. We immediately paid the amount due, but their is no way to dispute the late fees and finance charges. It appears to us that the transfer of data and other information during the transition from XXXX to XXXX was improperly handled.</t>
  </si>
  <si>
    <t>I was making a withdrawal from the ATM machine at Cadence Bank on XX/XX/2024. While still conducting my transaction ; I was startled after looking in my rear view mirror. I saw man just standing and staring at my vehicle from behind and the bank was open for operating hours.I had my car door cracked open and paused mid ways of my transaction to shut and lock my door before completing my transaction. Intially I had my car door cracked open so I could reach the ATM machines buttons and retrieve my cash. I was afraid that I wasn't sure if I should call thr poloce or pull off without my card. I closed and locked my doors and and turned on my rear view camera and took a photo. It was then that I recognized the man was wearing a Cadence 's employee lime green XXXX  shirt. I then proceeded and completed my withdrawal but I was confused as to why he stayed behind me the entire time. Why I was pulling off the lot and waiting for on coming traffic to cease so I could turn. I looked in my rear veiw mirror out of curiosity of his odd behavior. The employee walked up for 3 seconds or less and looked at the ATM. Then he swiftly looked in my direction then went back into Cadence 's Bank. I felt so embarrassed to have the Bank 's branch manager intrusively surveillance me alone and no other vehicles that came through the bank 's drive thru. It was after this inappropriate encounter that I learned ; that this employee named XXXX XXXX is the branch manager of the bank. I have photographic evidence it needed</t>
  </si>
  <si>
    <t>Subject : Deceptive Marketing and Failure to Honor Promotional Bonus via Partner XXXXXXXX Description of Complaint : I am filing this complaint regarding SoFi 's failure to honor a new account promotional offer marketed through their affiliate partner, XXXX. 
1. The Inducement : I was induced to open a new Checking &amp; Savings account with SoFi based on a specific advertisement on the XXXX platform. The offer promised a cash bonus of XXXX upon opening a new account and receiving a qualifying direct deposit. This promotional offer was the primary reason I chose to do business with SoFi. 
2. My Compliance : Acting in good faith, I fulfilled all requirements outlined in the promotion : I initiated the account application via the designated affiliate link on XXXX XXXX My account was successfully opened on XXXX XXXX I completed a qualifying Direct Deposit on XXXX XXXX, which posted to my account as required. 
3. The Violation : Despite meeting all terms, the promised bonus has not been paid. XXXX has denied the payout saying Sofi fails to report a transaction to XXXX or fails to make payment to XXXX for any reason. Since SoFi utilizes XXXX as a marketing channel to acquire new customers, SoFi bears the ultimate responsibility for ensuring its marketing partners honor their advertised offers. 
4. Impact : I have wasted significant time attempting to resolve this with customer support to no avail. The failure to provide the advertised incentive constitutes a " Unfair, Deceptive, or Abusive Act or Practice '' ( UDAAP ), as the financial product was marketed with a benefit that was not delivered.</t>
  </si>
  <si>
    <t>Hello, I received a scam call yesterday from XXXX. The caller claimed to be from Discover, stating there were suspicious purchases on my credit card. They were extremely convincing and had access to personal details such as my birthdate, address, and age. 
Although I became suspicious and questioned them, they continued to assure me it was legitimate. They even sent a text message for " verification '' from short code XXXX. Unfortunately, I did share the last XXXX digits of my Social Security number before fully realizing it was a scam. 
As a precaution, I have canceled my Discover card and requested a new one. I've also blocked both the phone number and short code and reported the incident to XXXX 
I have started a subscription with XXXX Please let me know if there are any additional steps I should take to protect my identity or account. 
Thank you, XXXX</t>
  </si>
  <si>
    <t>XXXX  XXXXXXXX XXXX XXXX  and Bank of America credit card pulled my credit on all 3 bureaus. 
XXXX, XXXX, XXXX. 
This happened over night at XXXX and XXXX. 
I did not request any credit to be pulled nor did I inquire about getting a credit card. 
I currently do not have any open credit cards with these companies</t>
  </si>
  <si>
    <t>I have disputed collection information reported by XXXX XXXX on behalf of XXXX. I have disputed the collection account XXXX with XXXX, XXXX, and Experian. I do not believe the investigation is properly being executed. It seems like the credit bureaus are working for the collection agency and agree with the electronic response received from XXXX XXXX on behalf of XXXX. The account remained on my credit report, but I do not have a reason why the account remain when XXXX shows I do not owe them and the balance was resolved. Transunion die not report XXXX XXXX on my credit report in XX/XX/XXXX, but soon as I disputed the item it was added to my credit report in XX/XX/XXXX and the investigation with XXXX XXXX has not been resolved.</t>
  </si>
  <si>
    <t>In XXXX, I opened an HSBC account checking with my wife XXXX, as well as an investment account for my ROTH IRA. The checking account came with two debit cards ( one in each name ). XXXX has never used her card and it has never left the house, but we were just contacted by HSBC about potentially fraudulent charges. There have been two charges at an XXXX store in XXXX, CA first on XX/XX/XXXX, and a second that shows as posting XX/XX/XXXX. These were accepted by the bank, but then an attempt was made to charge a hotel room ( XXXX XXXX ), and this was blocked by the bank, triggering a call.. We know that the card has never left the house, and has been locked away in a drawer in our desk. It has never ben used online, and has never been attached to any payment service etc, and we have never recorded the card number in any written or electronic document. We are certain that the card information has not been stolen from us so I have to conclude that somehow the information came directly from HSBC bank, or some affiliate. I have told them this, but I have no confidence that they intend to investigate this. The amounts were small, but if this information leaked from the Bank, then this is potentially a very serious issue.</t>
  </si>
  <si>
    <t>On XX/XX/20 my sister sent me {$5000.00} through a domestic online wire transfer through XXXX XXXX. I use PNC bank and they say they have no record of the transfer and the money has now left her account and is not in mine. There is {$5000.00} just missing. XXXX XXXX is claiming the problem is with PNC and PNC is claiming the problem lies with XXXX.</t>
  </si>
  <si>
    <t>I received a letter from JP Morgan Chase that the bank would be closing my accounts for an undisclosed reason and that the decision was irreversible. I have not been able to get any information besides the fact that this was caused by either an investment account or a credit card account. I still have no information of what could trigger this from any of my accounts. I rarely use the CC and the investment account that was closed, funds were transferred to another investment account.</t>
  </si>
  <si>
    <t>My mortgage servicing company is manipulating my escrow account to raise our payment constantly, they hang up on me refuse to reanalyze my escrow and are putting miss information on my 1098 mortgage statement to fradulently manipulate our payment continuesly. They are committing fraud against Us and I'm sure their doing it to other mortgagees.</t>
  </si>
  <si>
    <t>Cash App failed to take action against fraudulent activities, such as scams, phishing attempts, or unauthorized transactions, it could be seen as a violation of consumer protection laws. Cash App is required to have measures in place to protect users from fraud. Cash App did not adequately address situations where users accounts were accessed without permission, or funds were transferred without authorization, this could be a breach of laws regarding consumer protection. Attempted to resolve an issue ( such as an unauthorized transaction or payment dispute ) and Cash App failed to provide adequate support or resolution, it may be a violation of fair practices. cashapp used fake support bots to try to resolve issues.Cashapp closed my accounts for no reason</t>
  </si>
  <si>
    <t>I opened a savings and checking account to obtain a {$700.00} bonuses ( XXXX checking &amp; XXXX savings ) and have yet to receive the bonus? I called CITI and they said it will be 90 days from the date of the call.</t>
  </si>
  <si>
    <t>The following company never proved their methods of verification through several stages of written credit disputes : - XXXX XXXX XXXX XXXX XXXX XXXX XXXX XXXX XXXX XXXX XXXX XXXX XXXX XXXX XXXX XXXX XXXXXXXX XXXX XXXX XXXX XXXX XXXX XXXX XXXX XXXX XXXX XXXX XXXX XXXX XXXX XXXX XXXX XXXX XXXX XXXX XXXX XXXX XXXX - XXXX XXXX XXXX XXXX XXXX XXXXXXXXXXXX XXXX  The letters that were sent out are as follows : dispute letter 1 -- mailed on XX/XX/XXXX and received on XX/XX/XXXX dispute letter 2 -- no response letter mailed XX/XX/XXXX after over 30 days of no response dispute letter 3 -- VIOLATION OF FCRA RIGHTS DISPUTE LETTER # 4 mailed XX/XX/XXXX after 30 days of no response or correction to the credit reports. 
the credit bureaus all failed to respond within the proper timeframe and also failed to prove their method of verifications on how they " verified the information as accurate '' according to my most recent credit report that I obtained through myfico. 
No response from any of the credit bureaus within the given timeframe nor the companies. the companies have also tried to contact me illegally during this timeframe which is illegal to do in accordance with FCRA guidelines when disputes are underway.</t>
  </si>
  <si>
    <t>In XX/XX/XXXX I filed for bankruptcy. I was also told that some loans would not be covered in the bankruptcy, but reading this particular article where you have settleed a lawsuit against navient in XXXX. And since I filed in XXXX. Does that qualify me to have my loan dismissed? They were subsidized. 
I was just wondering.</t>
  </si>
  <si>
    <t>I was applying for a new credit card at Discover and provided every bit of information that they requested including the all the documents proving identification. After speaking with an agent it came to light that it is required that I talk on the phone to confirm these details but I speech issues on the phone which makes talking on the phone very difficult and causes quite a lot of anxiety for me. I let the agent know that and they were respectful but did not provide another option and canceled the application. Just sad that discover could not be more assistive to me.</t>
  </si>
  <si>
    <t>I have 2 complaints about M &amp; T. 
1 ) questionable tactics to takes someone's home and foreclosure. 
2 ) having a loan modification process that gives the consumer only 18 days to provide dozens of documents. Some like taxes, have to be ordered. When the customer can not get the long list of documents in the 18 days. M &amp; T cancels the customers application and deletes their account. they are just mean.. 
I am the most disappointed i have ever been with a company and can not believe they can do business like this and get away with it. Quick summary is the bank refused, yes refused to take my payments and started sending me foreclosure notices. 
Thanks. Just a couple more fact 1 ) fact 1 my payment suddenly went up {$1200.00} in XX/XX/2019 because M &amp; T did a escrow adjustment, i had no idea, that was going to last 2 years. 
2 ) fact 2 i became behind for XX/XX/XXXX ) fact 3 i offered to pay {$3900.00} in XX/XX/XXXX which is a full payment and they refused. They refused my payment.They then proceed with letters from lawyers to my house threatening foreclose. The only way i can describe what they did is the word evil.</t>
  </si>
  <si>
    <t>In XX/XX/2020 to XX/XX/2020, my regular mortgage payment was rejected from Santander saying they did not know what account to apply the payment too. I was not aware of this until receiving a notice that I did not make my monthly payment. The money was showing out of my account via an ACH payment. I called my bank that the payment originated from and they confirmed it was sent the same way it has always been previously sent. I contacted Santander customer service and told them that the money was showing as paid and our of my account. They had me submit an email to start an inquiry and showing the payment from my account. This inquiry went no where. I received some letters stating that they needed time and we're looking into it, but nothing else. In the mean time, near the end of XXXX, the money was returned to my account and that is when my bank told me it came back saying it did not know what account to add the payment too. Since I did receive the money back, when I made my next payment, I doubled it with this returned money. Same thing happened, and I again called customer service when I received a letter stating I did not pay. They kept telling me to just pay my mortgage, not listening to the fact that I did and it was being rejected though my bank said it was being paid the same as before. This payment eventually came back as well. The bank making the payment stopped ACH payments and started sending them by check instead. Have not had issues after. Nothing came of the inquiry I submitted. I was only out around {$40.00} in late fees which was not worth my time to dispute but I have now noticed that they reported on my credit score that I had a late payment. This is false and needs to be addressed.</t>
  </si>
  <si>
    <t>The response to my complaint indicated that Equifax had previously removed the disputed item on two separate occasions from my credit file and now it has been added back  a 3rd time  under a different name. Please review your past files as you will see that you have already removed this same disputed item in the amount of {$640.00} under  XXXX  different creditors names in the past. The issue is they are selling the account and it keeps getting placed back into my credit file which is illegal since it was already disputed and removed twice.   This was Equifax 's response to the latest issue and the reason they do n't see the other names mentioned is because Equifax had already removed them from my file in the past. Equifax reinserted the same disputed item just under a different creditors name.  &lt;P/&gt; Dear  XXXX   XXXX , we received the complaint you submitted through the CFPB Portal. Equifax has reviewed the complaint and its records. Please be advised that all account data contained in your Equifax credit file is electronically reported and updated by the data furnisher. Equifax did not reinsert the accounts listed in the complaint. The following disputed items are not currently reporting on the Equifax credit file :   XXXX   XXXX   XXXX   FOR {$640.00} AND  XXXX . The disputed  XXXX   XXXX   XXXX  account number ending in  XXXX  has been verified as reporting correctly on the Equifax credit file with your name, current address and social security number. Adverse accounts will remain on the Equifax credit file for up to 7 years from the date of last activity or date of first delinquency. Written confirmation has been sent to you on  XX/XX/2017   . A complimentary copy of your credit file has been mailed on  XX/XX/2017   , please allow  7 to 10 business days for delivery. Please note that for future disputes of credit report information, you may visi t www.equifax.com</t>
  </si>
  <si>
    <t>I finally received an insurance check from a car accident from From XXXX XXXX and it is a Citibank issued check. 
I called and spoke with a local Citibank branch ( XXXX XXXX, CA ph # : XXXX ) on Monday at XXXX XXXX today and spoke with a very rude person. I wanted to inquire if I could cash a check issued by Citibank and he stated no, despite the check issuer being Citibank. When I asked him the reason he rudely answered but was using terms I was unfamiliar with which led to me asking additional questions in which he became rude and upset stating Im not going to argue with you. I was shocked on how he said it because my intention was not to argue nor did I expect him to become upset. I did not expect such hostility for asking questions or clarifications. I thought I would have no issues cashing a check at a branch in which the check was written by the financial institution.</t>
  </si>
  <si>
    <t>My home mortgage loan was sold in fall XX/XX/XXXX by XXXX. I was directed to send payment to XXXX, which I did for the XX/XX/XXXX payment. I have the cashed check copy and evidence of my account being debited. Then I was directed to send payments to LoanCare. I have sent in all payments and have not missed any months. 
LoanCare will not recognize this payment and sends delinquent notices, saying I am behind on my mortgage payments, which I am not. Since XX/XX/XXXX to present, I have twice called LoanCare customer support to resolve this. Each time I was instructed to fax an explanation, copy of cashed check and my account debit page. I have done this twice now. When I call the customer service line, they have no information regarding any of this. 
I sent a letter ( copy can be faxed ) regarding this, with the above information again enclosed to LoanCare on XX/XX/XXXX. I asked for the payment made to XXXX to be acknowledged and my account to be remedied. no reply. 
I received another delinquent notice on XX/XX/XXXX. I have made every payment every month.</t>
  </si>
  <si>
    <t>I am a customer with Simple Bank, they are transitioning to XXXX on XX/XX/XXXX On XX/XX/2021 they ( Simple ) withdrew {$8600.00} from my account. Without my knowledge or consent. I only found out when I used my card in the supermarket and it did not work. 
They left me with {$10.00} in my account to buy food and gas. 
After daily calls and messages to customer service, I eventually found out they were doing an investigation into my account. They could not give me a reason why as to why. 
Then a few days later I got a message they were closing my account, they only said this is confidential and all funds are frozen, until my account is closed and then they would send me a check for the funds in my account. No mention of the previous money they withdrew. 
After more calls and messages, they still can not confirm that what is happening. 
So as it stands now, on XX/XX/XXXX I have {$460.00} in account, which they acknowledge will be returned {$8600.00} withdrew and they can not confirm its return Surely this can not be Legal? 
I`m absolutely disgusted with their behavior over this. 
I can't get a straight answer from them for anything they have done. 
Customer Service even hung up on me! 
Its caused me a lot of stress and anxiety, Ive had to borrow money from family to get by Its NOT right and it needs to be reported and they need to be held accountable for their actions</t>
  </si>
  <si>
    <t>Dear CCB/VICTORIA SECRET ; I was shocked when I reviewed my credit report today and found late payment on for 30 days late when the world was shut down due to XXXX and i was personally during that time XXXX XXXX XXXX XXXX XXXX XXXX XXXX XXXX XXXX XXXX. I also thought i had paid it through automatic payments. Again, I am not sure how this happened, I believe that I had made my payments to you when I received my statements. My only thought is that my monthly statement did not get to me.</t>
  </si>
  <si>
    <t>I am writing to you as a concerned consumer regarding the accuracy and fairness of the information contained in my credit report. As you are aware, the Fair Credit Reporting Act ( FCRA ) ( 15 USC 1681 ), which was enacted to promote the accuracy, fairness, and privacy of information in the files of consumer reporting agencies, grants me certain rights to ensure that my credit report is correct and that I am treated fairly in the credit reporting process. 
Under the FCRA, I am entitled to the following rights : The Right to Accurate Reporting The Right to Dispute Inaccurate Information The Right to Be Notified of Adverse Actions The Right to Limit Access to My Credit Report The Right to Privacy and Confidentiality The Right to Seek Damages for Violations I am asserting these rights in my dealings with your agency to ensure that my credit report is accurate, complete, and reflective of my true credit history. Any discrepancies or inaccuracies should be promptly corrected to avoid any adverse impact on my creditworthiness. 
XXXXXXXX XXXX XXXX XXXXXXXX, DEPT OF EDXXXX XXXXXXXX XXXX XXXX XXXX XXXX XXXX XXXX XXXX XXXX XXXX XXXX XXXX XXXX XXXX XXXX XXXX XXXX</t>
  </si>
  <si>
    <t>My mortgage is with NewRez LLC handled by Shellpoint Mortgage Servicing LLC. and I was in COVID19 Forbearance plan. However, the process of getting out of the forbearance and starting paying my new modified loan was all but a disaster. Starting XX/XX/2021 I was in talk/email with a Shellpoint contact person and when it comes time for me to sign documents, they keep sending the wrong/misspelled documents over and over again. When all that happened they didn't push my payment starting date, which was scheduled to start in XX/XX/2021. And when my mortgage payment due date passed they reported it to credit agencies as I missed all payments during the COVID19 Forbearance plan, this is despite my payment of a newly calculated modified monthly payment on XX/XX/XXXX. Now, all the promises that the government gave to a homeowner like me have become lies. my XXXX XXXX got to the lowest point itever been and the psychological impact was putting a toll on me. 
I did everything that NewRez/Shellpoint Mortgage Servicing LLC asked me to do. I tried to avoid getting into this kind of situation, speeding hours and hours on the phone just to get one representative to give you a false assurance that everything will be fine. Shellpoint Mortgage Servicing LLC messed up my document. They sent wrong papers for me to sign four times. With this out of my control situation I got a XXXX XXXX hit which is almost hard to overcome. 
Please, please... I need someone to help me on what to do in this situation.</t>
  </si>
  <si>
    <t>My XXXX account was used in cash app to send a substantial amount of money from one Pier to another when I try to resolve this with the bank they denied me even though I had reported that I was unable to login due to somebody changing all of my information my email address my phone number on the account before any of the transactions even started and they were unable to help me then 2 days later my card was used on XXXX XXXX to send a large amount of money multiple different transactions and when I disputed the transactions they said no error were found but they gave me credit for {$1.00} on XXXX of the disputes which didn't make sense they have since been closed my venmo account I don't have XXXX XXXX. So the way it said that I'm out XXXX if I can't get this result some other way the bank has denied my claims and close the account until I can no longer have even metal account</t>
  </si>
  <si>
    <t>the following unauthorized inquiry need to be removed : Made by : CREDCO Made on : XX/XX/2017 To my knowledge, I have not signed any documents authorizing this organization to view my credit history therefore, your inquiry into my credit report violates the Fair Credit Reporting Act, Section 1681b ( c ) : Transactions Not Initiated by Consumer.
If you are in possession of any document that you believe authorizes you or your organization to make inquires into my credit report, I respectfully request a copy of this document be sent to my address listed above so that I may verify its validity. Given the amount of identity theft, I 'm sure you 'll agree that verifying your information is in your best interest. 
Finally, assuming you do not posses inquiry authorization, I request that, after removing your unauthorized inquires from my credit profiles, you also remove all of my personal information from your records and send me confirmation that you have complied with my requests. 
Sincerely,</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</si>
  <si>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dis not comply with error resolution requirements under the. Electronic Funds Transfer Act ( EFTA ) and Regulation E. These actions have caused significant inconvenience and financial loss, and I seek appropriate redress for these violations.</t>
  </si>
  <si>
    <t>I received and email on XX/XX/XXXX that my statement was due for Genesis FS Service and i never applied for a card with them. Upon speaking to customer service someone opened and account with my information at XXXX XXXX XXXX. I have requested for the account to be closed</t>
  </si>
  <si>
    <t>I have a Good credit score at XXXX points. I have very little debt, compared to my income. I have only ever paid 1 account late, due to becoming XXXX, which caused that 1 account to go 6 months past due, more than 3 years ago. The XX/XX/XXXX agreed to guarantee my loan in full, in accordance with the Transportation Loan Guarantee program provided to people with XXXX, pursuant to the Rehabilitation Act of 1973. However, Navy Credit Union discriminated against me, due to my XXXX, by denying my auto loan application for arbitrary reasons of : 1. Too many recent accounts ( my recent accounts are as a cosigner destructing LLC debt to lower interest rates ) 2. Serious delinquency ( due to my XXXX over 3 years ago, and only on 1 account ) 3. Too many accounts with balances ( I only have 3 credit card balances ) 4. Ratio of balances to credit limit too high. I only have 3 credit cards with less than {$3000.00} in total balances ). 
The reasons for the denial do not accurately reflect my credit report, and credit score of XXXX. Furthermore, I appealed the denial seeking reconsideration given that the State of California, through the XX/XX/XXXX, is guaranteeing the transaction through a Federally mandated program for people with disabilities. 
Navy Credit Union ignored this loan guarantee information and denied my application.</t>
  </si>
  <si>
    <t>I started a new job and realized now that I received a phishing email from the boss. I paid him for gift cards for clients worth {$500.00} through XXXX the money is still processing and I want it back.</t>
  </si>
  <si>
    <t>In XXXX I took my daughter to XXXX 's and at check out was offered a store card. I was approved and the balance of was charged to my account. 2 weeks later, I had not received anything from them, no card, no statement, so I called, and they said they had the correct address and I should receive the card and statement within a few days. 2 weeks later, still nothing. I call back and I tell the girl I have to pay the balance because I don't want it hitting my credit and she is able to pull up the account with my ss # and let me make a payment. That was in XX/XX/XXXX. Today I get a phone call saying I owe {$65.00} dollars. I call and they tell me it's late fees because when I paid the bill I paid {$0.00} cents less than what I owned. I still haven't received a statement or a card from them, so I asked them to close the account and remove the fees because why would I not pay XXXX cents knowing it would cost me so much more and a bad hit on my credit. I have many credit cards. I always pay them on time. I even have several other accounts with comenity bank which is who services XXXX XXXX XXXXXXXX XXXX store cards. They can look at my history and easily see that this is not my fault.</t>
  </si>
  <si>
    <t>I am filling a complaint against Cash App ( Block Inc ) due to inadequate customer services and unfair practices, which violate the Consumer Financial Protection Act ( CFPA ). Specifically Cash App failed to take timely and effective measures to prevent and address fraud on thier platform, leaving my account vulnerable and unprotected. Furthermore more the dispute resolution process was unfair and deceptive as they did not comply error resolution requirements under the Electronic Fund Transfer Act ( EFTA ) and regulation E. These actions have caused me significant inconvenience and financial loss amd I seek appropriate redress for these violations.</t>
  </si>
  <si>
    <t>I contacted mortgage loan servicer SPS on a number of occasions to request the automatic termination of PMI payments in accordance with my loan agreement. The date listed in my original loan agreement with XXXX for automatic termination is : XX/XX/XXXX. My account history shows that I am well within what is defined in the contract as " good payment history ''. I provided copies of the document to SPS who insists I need to pay an appraisal fee of {$450.00} in order to have the PMI payments removed. The original purchase price on XX/XX/XXXX was {$270000.00}. The current value of my townhome is over {$40000.00} and readily available based on current sales of identical properties in the development.</t>
  </si>
  <si>
    <t>Payments to XXXX XXXX XXXX/Transworld : XX/XX/XXXX {$150.00} XX/XX/XXXX {$130.00} XX/XX/XXXX {$710.00} Total : {$990.00} This company had garnished my taxes last year on XX/XX/XXXX and I had made payments towards the balance due the previous dates listed above as well, but because of them charging me interest ( about XXXX $ ) every month, It had built up to the same amount balance I owed last year. Therefore I am just repaying the same amount I paid last year and the remaining balance due. Which is basically paying the total debt amount due twice instead of one time. Ive called the supervisor twice to resolve this issue and the company itself several times to resolve this issue but theyre saying even with me setting up a payment plan theyre going to charge me about XXXX $ a month anyway.</t>
  </si>
  <si>
    <t>I am falling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this violations.</t>
  </si>
  <si>
    <t>This account was removed off my report due to identity theft EXPERIAN continues to report this after I sent over multiple verification letters and identity theft reports EXPERIAN took this off my credit now put it back on</t>
  </si>
  <si>
    <t>This is the 4th time! transunion from XX/XX/2019 to XXXX XXXX that I see this happening, I want to know how is this possible for someone to intercept information from the bank, for someone to intercept information from XXXX, an altered at the credit bureaus Data. Md law says I have the right to ask the name of the person who does the investigation. ( ( ( ( ( ( And I do not need to know how credit works and Im going to not work. ) ) ) ) )</t>
  </si>
  <si>
    <t>I received a ton lf voicemails from this company regarding a gym debt that I have confirmed with XXXX XXXX XXXX that I do not owe. I reached out to Aldous &amp; Associates on XX/XX/2024 regarding this debt and explained that I do not have debt with XXXX XXXX and that they confirmed it. I asked them to send me confirmation of this debt and they claimed they mailed a letter which I hadnt received nor did they provide what the debt in question was or why I received it. They said if I didnt pay the debt it would be reflected on my credit. I called this number XXXX ( XXXX ) XXXX which they provided via voicemails. I am unsure if this is a scam at this point.</t>
  </si>
  <si>
    <t>I have recieved a Garnishment order, witholding notice, and a false bill of collections in regards to my Child Support and my recently completed Trademark. It is out of state it's dated XXXX XXXX XXXX XXXX dollars. My child support case is in XXXX OR and has been closed XX/XX/XXXX. The paper work is poorly margined inconsistent ink printing the addresses and letter heading is wrong. Alongside with a false pass due bill for my Trademark that was cleared by the UPSTO demanding XXXX dollars. These letters are coming congruently and money is dissapearing from certain accounts in a very sneaky like manner.</t>
  </si>
  <si>
    <t>I was attempting to purchase a dog from a website when I was scammed out of {$990.00} over XXXX on XX/XX/22 at XXXX and called the bank ( Chase ) at XXXX XX/XX/22 and was told there was nothing they could do. They said they would not refund my money. I then reached out to XXXX as well to let them know about their fraudulent account they allowed money to transfer to and they also said they would not help me obtain my money lost ( also contacted XX/XX/22 ). I reported the scam to the bank within 1.5 hours of it happening and provided all information on website, phone number/texts and no help was provided.</t>
  </si>
  <si>
    <t>My checking account was charged XXXX times for {$440.00}. XXXX. These small transactions were reoccurring and unauthorized. They began in XXXX XXXX XXXX. I have disputed with chime twice and been denied. I filed a. Police report that I have uploaded to them to. The dispute team. I have done everything chime has asked of me and they have done not I g to get my money back. I looked up these charges and they are '' hidden, experimental features in the XXXX XXXX browser. I am a victim XXXX fraud and chime has taken no responsibility to help me as a consumer.</t>
  </si>
  <si>
    <t>I am trying to stop my mortgage from being accelerated to a foreclosure status as I have just learned about this XXXX XXXX. My mortgage payment have been paid every month on an automatic debit transaction by the Bank - never missing a payment. I have proof of such payments.being made. These payments have been made to Greentree Mortgage .I have never been notified of any change in mortgage companies. No notices of any kind letting me know that a change had been made &amp; who my new mortgage servicer is. Nothing has been sent to my home address or this name would have been changed immediately. The house in question is a rental home and been such for quite a few years. My bank has verified that Greentree has been accepting and cashing my mortgage payments. I have been unable to contact Greentree to get my questions answered. On XX/XX/XXXX I checked the mailbox at the rental house and found a delinquent notice from Shellpoint addresed to me. I called Shellpoint to find out what this was all about and who they were only to learn that they were now the new mortgage co. that my monthly payments should have been going to. I explained the situation to Shellpoint that this is a huge mistake and was told that a case manager would look into this and get back to me XXXX XXXX There are no missed payments!</t>
  </si>
  <si>
    <t>XXXX accounts for Fair Collections and Outsourcing, # XXXX, and # XXXX, are in error. I have attempted to get these alleged debts removed from my credit reports. XXXX have done so, but XXXX refuses. These alleged debts were purchased by a collection agency from XXXX XXXX Apartments. I have sent documents proving that I do not owe this debt. In a nutshell, I had planned to lease an apartment XXXX Apartments, only to receive military orders to report to duty in New York State. Despite federal law, the Soldiers and Sailors Relief Act, which required XXXX XXXX Apartments to rescind the lease once I provided notice, XXXX XXXX Apartments refused to do so, necessitating litigation. When the judge learned that I was under military orders, the judge appointed me a guardian ad litem, who succeeded in getting the malicious lawsuit filed by XXXX XXXX Apartments dismissed. In other words, the court held that I owed nothing. XXXX XXXX nonetheless went and sold a fraudulent alleged debt to a debt collection agency, Fair Collections and Outsourcing. I informed Fair Collections and Outsourcing of the dismissal of XXXX XXXX Apartments ' case and that the debt was invalid. Fair Collections and Outsourcing has chosen to report me to the credit bureaus as a form of extortion in an attempt to get me to pay an amount that the court held I do not owe under federal law. Despite numerous communications with Fair Collections and Outsourcing, this unscrupulous debt collector refuses to inform XXXX that the debt is invalid. Consequently, XXXX will not remove the amount from my credit report. Even worse, XXXX of the alleged " debts ' is in fact a security deposit that XXXX XXXX is obligated to return to me.</t>
  </si>
  <si>
    <t>Without any notice, Citibank closed and cancelled my Costco Visa Card. I have had the card ever since it was introduced and have had a long and mutually satisfactory relationship with Citibank for years. They somehow received mistaken information that they " previously had to close XXXX or more Citi accounts in [ my ] name '' and that is not true. So they closed this account with no notice and stole all my Costco dollars which I had earned. I would like the account reinstated as it was closed inappropriately and I would like the money I had relied on for my Costco purchases.</t>
  </si>
  <si>
    <t>Recently acquired an American Express Blue credit card, specifically because it offered XXXX % rebate on groceries. After several calls and questions, they told me that XXXX does not qualify because it is a XXXX XXXX. I asked them why it was not possible for them to talk to XXXX and come up with a way to code grocery purchases and thus give credit where credit is due. I asked them if they were aware that XXXX is one of the top grocers in the United States, to which I received only silence. I do buy produce and meat from XXXX, which qualifies, but all the rest from XXXX, because they are consistently better priced. I am not a happy camper!</t>
  </si>
  <si>
    <t>I answered a solicitation to have my personnel vehicle wrapped in a particular logo earning $ XXXX/week for 12 weeks. The sender mailed a check to me for {$2900.00}. This was to give the first week 's payment ( {$500.00} ) and the rest was to use towards the installation process ( {$2400.00} ). I was to send {$1200.00} ( XXXX ) to ( XXXX ) different people, using XXXX to send the money. This was part of the scam, stating an installation team would show up at my residence to wrap my vehicle and then remove the wrap after the 12 week period. 
When I received the check, I used the Navy Federal Credit Union ( my bank ) " edeposit '' method to deposit the check into my checking account. On " good faith '' NFCU honored the check within 2 days. On the third day, NFCU found the check to be fraudulent and took {$2900.00} from my account. I have filed a police report about the solicitation scam and realize I have loss that money. If NFCU would have not on " good faith '' put those funds in my account, I would have never proceeded any further.</t>
  </si>
  <si>
    <t>When I investigated my credit report, I realized that some of the information was erroneous. Experian, XXXX, and XXXX are required to authenticate this account under Sections 609 ( a ) ( 1 ) ( A ) and 611 ( a ) ( 1 ). ( A ). It is not acceptable to treat this reporting account as unconfirmed information without producing proof within the legal time range. Sections 609 ( a ) ( 1 ) ( A ) and 611 ( a ) ( 1 ). ( A ), please investigate the unverifiable account below : XXXX XXXX XXXX XXXX Balance : {$440.00}</t>
  </si>
  <si>
    <t>Hi, I accidentally paid too little on my credit card. I was left with a {$5.00} balance on a XXXX credit line. I did not realize that I still had a small nominal balance. 
Bank of America did not place any calls to me or send me an email. If I had been contacted, I could have quickly paid off the remaining balance. I only caught that balance while randomly checking my credit records on XXXX XXXX. I tried to login to my account to make a payment, and they blocked my login for delinquency. I called and made a payment via IVR. 
I just found out that they cancelled my credit line on XXXX XXXX, XXXX for a {$5.00} delinquency on a {$18000.00} credit line. I opened this account while in college 18 years ago. This was my only delinquency situation. I was never called or emailed. 
I called Bank of America and was informed that my account was closed. There were no options made available to me than other to apply for a new account. 
Now, my credit card is cancelled and my credit bureau has red marks over a {$5.00} balance. This seems monumentally unfair and a case where automated workflow rules failed both bank and myself. A simple email would have resolved the situation.</t>
  </si>
  <si>
    <t>1. XXXX, I received money ( XXXX ) PayPal automatically converted this to XXXX which was unusual because I did not ask it to and that my account has a US dollar currency as well. 
So my account now has XXXX 2. XXXX, I paid a XXXX XXXX for a translation service 3. XXXX, I paid another XXXX to same account, XXXX, for tariff in order to expedite the translation service. Before logging out I remember I still USDXXXX something in my balance as reflected after I made the payment. 
4. XXXX When I checked my account, I now only have USDXXXX. I was shocked! Did PAYPAL just charge me more than USDXXXX for those transactions? How was it possible that it was this small when I still have XXXX dollars when last I checked. Did they make late charges? Are there hidden fees? 
5. XXXX, I contacted Paypal and informed them about my concerns. No answers, olny canned responses. XXXX, When I checked the balance, at first I did not notice but then realized the balance changed again, it's now USDXXXX. I found this really suspicious. 
6.XXXX, Finally an answer from their Chat rep but it was vague and did not really address the issue of where the missing USDXXXX is 7. XXXX After this reply the conversation was immediately closed. I was not even given time to rebut this explantion. 
8. XXXX, I tried contacting them again and eplained my concern. I even requested a full account of my transactions and all the fees incurred. 
9. XXXX. I got a reply but again, it was beating around the bush. The chat rep even mentioned that my transaction did not need coversion of currency, then why the heck did you charge me with the fee. And where did the USDXXXX dollars go? 
Paypal refused to disclose any fees they have levied on my transactions and they wont answer how my account is missing between XXXX USD.</t>
  </si>
  <si>
    <t>I received a letter form regional acceptance corporation responding to a claim I filed and the information that was documented on that statement of them responding to my claims is all incorrect and lies. I have a voicemail when the recovery guy called me 1 time and I called him right back and gave him the address and information about the vehicle. On my emails that I sent them informing them to come pick up the vehicle had the correct address XXXX XXXX XXXX. I had previously taken insurance and registration off this vehicle in XXXX as I havent driven it since XX/XX/2019. XXXX XXXX called once on XX/XX/2019 and came and picked up the vehicle in that said location that I informed regional acceptance corporation maybe two month prior the location of the car as the car hadnt moved. These are lies and I ask that this car be removed from all of my credit reports and the late charges that they have filed on my report. The information is incorrect in this letter and we can pull the files from speedy recovery to confirm with him that he only called once and only left one voicemail as I addressed and called him right back the same exact day upon getting the voicemail. If I can get a email address I can send over the voicemail.</t>
  </si>
  <si>
    <t>I took a title loan out Loan Max XX/XX/19 for XXXX dollars, with due date XX/XX/2019 but because I made a payment earlier ( XX/XX/XXXX ) to avoid the interest rate they change my due XX/XX/XXXX Instead of XX/XX/2019 They said I was manipulating the situation, that not manipulating that is business and I know from past experience with loans because I pay earlier my due date never changed This is Loan Max attempt to penalize me for paying earlier so they can gain interest and profit unlawfully .They also it is stated in the contract if you pay earlier you change the due date so you really being manipulating, penalize by loan max so they can collect more interest making less of your payment go on the principle. Also because it is the contract does mean it is legal, I have the right to pay earlier without being penalized by loan max to prevent me from doing so by changing my due date</t>
  </si>
  <si>
    <t>Mr. Cooper has had numerous issues with their website since we have been transferred to them for loan servicing. I most recently tried to cancel a payment on their website by clicking the cancel button immediately after submitting the payment. The cancel button did not do anything. I tried calling but their systems were down every time I called and they were unable to access my information. I asked them to cancel that payment via secure message. Instead, they assessed a {$30.00} fee. After numerous phone calls with incompetent customer service and people who say they are supervisors, they refuse to remove the fee that was caused by their website error glitch. They are thieves.</t>
  </si>
  <si>
    <t>I have no knowledge of this debt. 
I'm requesting for a debt validation of this debt or I have no knowledge of this debt. 
I'm requesting for a debt validation of this debt or delete the negative report off my credit. 
As FDCPA you must provide phisical proof of this debt such as : original document with my signature on it, any and all cansel check, contractual agreement that you have the right to collect this debt, etc ... 
As FDCPA you must provide phisical proof of this debt such as : original document with my signature on it, any and all cansel check, contractual agreement that you have the right to collect this debt, etc ...</t>
  </si>
  <si>
    <t>I XXXX XXXX XXXX again, want the copy of the Original purchase agreement for this contract. I also request my 1099-c form that I have not got.per 15 usc 1681-A and per 15 usc 1681 ( e ) B!!! please handle and remove from all XXXX credit reports. Violation of fcra Per 15 U.S. Code 1681 A, B, and C. And per 15 U.S 6802. I request you to remove these items now from all XXXX credit reports. Company has written as a tax write off on their taxes yet your billing again?? Inaccurate reporting/ collection. This is now being part of litigation have asked repeatedly for the 1099-c and Multiple disputes and STILL have not received. These disputes are being poorly handled which is why its being referred to litigation. All disputes is save in my history and yet nothing get done</t>
  </si>
  <si>
    <t>Purchased my 3rd Carvana vehicle back in mid XXXX. Was told payoff of trade-in, also purchased through Carvana, would be paid off within 10 days. After two weeks and no payment received at the bank, called back into Carvana and was told that payment was already made and to give more time. Called back in after a few more days and was told that the original payment was never made and that there had been a glitch. Was told that payment was being mailed out that same day and would be providing tracking info. Received tracking info later that day that turned out to be bogus. No check had been mailed. I remained in contact with the bank who has to-date still not received payment after 6+ weeks. I have made payments on both cars now and have another payment due on a car that has been in Carvana 's possession for 6 weeks now. In speaking with Carvana rep again, relayed that pay-off bank was requesting payment be made by over-night check complete with relayable tracking number. Was told by Carvana rep that they would do that today and have the tracking number emailed to me and posted to Carvana account by XXXX today. As we were wrapping up call, the system updated and the rep explained an issue that the agreement was posted incorrectly and that they were not sending a check, but going to attempt a transfer ( after failing at least 2 times over 6 weeks ) again. I reminded rep about need for tracking info and the agreed upon overnight check. Rep agreed and reached back out to funding about our agreed upon terms and was simply told that they were no longer overnighting the check. Rep 's hands were tied and could not override their funding department. Tried multiple times to communicate the agreed upon arrangements with them and was rejected. I have 0 confidence in Carvana 's ability to do what they say at this point and would like consumer protection to investigate their practices.</t>
  </si>
  <si>
    <t>I made purchases from an online merchant ( XXXX ) and experienced multiple issues involving billing, cancellation, and non-delivery. On XX/XX/XXXX, I placed an order totaling {$340.00}, which was split into XXXX charges of {$220.00} and {$120.00}. I canceled this order before it was fulfilled. The merchant acknowledged issues with the transaction, including a duplicate authorization, and stated that the charge would be released. Despite this, the order was still processed and I was charged. I did not receive the item. Additionally, I was charged for another item that I did not receive. The merchant initially acknowledged issues and later provided conflicting information, including stating that the item was delivered despite my report of non-delivery. I followed all instructions provided by the merchant, including reporting the missing package and complying with their process. Ultimately, the merchant instructed me to dispute the charges with my bank. I filed a dispute with my bank, SoFi, on XX/XX/XXXX and provided supporting documentation, including : Proof of cancellation Evidence of non-delivery XXXX records showing the merchant acknowledged billing issues and advised me to dispute the charges Despite this, my dispute has not been resolved. Due to the delay in resolving this issue and returning my funds, my account has been negatively impacted and has fallen into a negative balance. This has caused financial hardship. If this situation were reversed, I would be subject to fees or penalties, making this outcome unfair. I have made good faith efforts to resolve this issue with both the merchant and my bank but have not received a resolution.</t>
  </si>
  <si>
    <t>I have requested to great extent that Wells Fargo who is the servicer on this loan, allow me a work out plan that will be beneficial for all. I am only late four months with this mortgage. After 30 days of my request for a loan modification I received a letter from Well Fargo to say that my application was unsuccessful due to my income. However, at the same time of my request for a loan modification I was also in the process of selling my home at XXXX XXXX XXXX which, its mortgage was consider an expense in my household expenses. 
Just to familiarize you with my hardship, it all occurred during and after the market crashed. The rising cost related to subject property, tenants defaulting on the rent and must painful and horrific the loss of XXXX   XXXX. I am an XXXX. 
Not only did I lose my income, but I also lost my health.. All I could think about it was the devastation that this economy introduce to me. 
Unfortunally, after all the struggling in 2010, I was admitted to XXXX XXXX  in CT. under XXXX care due to circumstances beyond my control. This was a long unexpected journey. I was there for 3 years.. 
I have enclosed medical records to Wells Fargo. Have updated all kinds of documents concerning my financials to no success. 
All I am asking is for Wells Fargo to give me the chance of giving me a lower Trial payment. This is what I can do for the moment. {$5.00}, XXXX. 
Please I want to keep my home. 
I am now competent to make financial decisions and handle my financial affairs. I am determined to maintain my financial current I am also confident that I'm able to afford payment based on my wife 's and my present income. 
Please I need to lower my rate, and extent my terms of the loan and adjust my principal. Refinancing is not an option at the moment. The subject is under water. ( See appraisal ). 
Kindly confirm receipt of this request and advice as to the next step.</t>
  </si>
  <si>
    <t>In the complaint XXXX ; The part of Bank of America was closed because they said that I was not authorized to receive information about this loan. The XXXX of XXXX, I spoke by phone with the specialist XXXX XXXX and I explained to her that I had also signed the loan origination documents. They decided to send me by mail the documents of authorization that I never received. 
I am including the documents of origination of this loan to demonstrate that I also signed this loan meaning that I am authorized. I also include a letter of XXXX recognizing that I am part of this loan. I need that Bank of America review carefully this documents to they can cooperative with this complaint I request that the Bank of America send the required information to be able to solve this case. It was not fair that my case gets closed. I request that you talk with Bank of American because I have a right to receive that information, because I was the one who paid that loan and was sued by Countrywide. 
The loan is under the name of XXXX XXXX XXXX XXXX, my ex-husband and I, XXXX XXXX XXXX XXXX.</t>
  </si>
  <si>
    <t>I am writing to formally dispute the placement of my federal student loan account into forbearance and/or delinquency without my knowledge or proper notification. These actions, taken unilaterally by XXXX, have significantly harmed my credit score and financial standing. 
According to my records, my loan was placed into forbearance and/or reported as delinquent around XX/XX/year&gt;. I did not request, authorize, or consent to any forbearance status. 
I received no advance notice of this change, nor allowed to contest or opt out of the action. On XX/XX/year&gt;, I received an email stating I was four months behind on payments. However, my credit report from Equifax and XXXX, reviewed on XX/XX/year&gt;, shows that delinquent status had already been reported as of XX/XX/year&gt; ( Contacted by Fasfa via Email XX/XX/year&gt; ). This timing demonstrates that my account was marked delinquent before any communication from XXXX. 
Additionally, my records show that XXXX first contacted me about a forbearance status on XX/XX/year&gt;, in response to my application for an Income-Driven Repayment ( IDR ) plan, which I submitted on XX/XX/year&gt;. That was the first and only communication I received regarding the forbearance, and it came after the status change and credit reporting. 
This mismanagement has resulted in serious negative marks on my credit report, including a reported 90-day delinquency. I was not notified of this delinquency until well after it was reported to the credit bureaus.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</si>
  <si>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 
I want the CFPB to publish this :</t>
  </si>
  <si>
    <t>Consumer Adj Co has continued to report an alleged collection account to the credit reporting agencies ( XXXX, XXXX, XXXX ) without a DOFD ( Date of First Delinquency ). I disputed the validity of the debt and the lack of a DOFD several times ( XX/XX/22 XX/XX/22 ), but XXXX continues to claim the validity of the debt without providing the DOFD. This give the erroneous impression that I have recently and knowingly defaulted on a debt.</t>
  </si>
  <si>
    <t>XXXX issued my refund for hardware on XX/XX/XXXX. I reached out to PNC Bank to try to confirm the money was received or the transaction was declined. After being transferred a few times I spoke to a bank representative that confirmed the transaction was declined but couldnt provide anything further. It is now XX/XX/XXXX and XXXX refuses to reissue the funds. I called PNC bank and they said they refused the funds and sent them back. However, PNC refuses to gove me any proof of the transaction even though I have a ARN number provided by XXXX. XXXX refuses to do anything without proof because they said the money was not returned. 
Now Im stuck fighting between two billion dollar companies for what is to them a measly {$130.00}. I need proof the funds were returned back to XXXX. Seems like a simple request.</t>
  </si>
  <si>
    <t>Received notification on my XXXX consumer credit report in XX/XX/XXXX that Target/ TD Bank is still reporting an open 100 % credit utilization store card on my credit report, which was previously disputed several years before, and credit bureau investigation found that the debt could not be validated so it was charged off and closed. 
However, unlike other closed accounts with a zero balance, this one is showing contradicting information including that the account status is " closed, charged off '' but at the same time also shows that it has a 100 % utilization with an unpaid {$1000.00} balance. This was charged off and closed by Target/TD bank in XXXX ; there should be a zero balance and zero credit utilization reflecting. This account is also reporting 28 Potentially Negative Months. 
Additionally, under 15 US Code 6801, this is non-public personal information that I never authorized to be reported on my credit profile to begin with, and in regards to the remarks of past due late payments, under 15 US Code 1666 B, no company shall report late payments for any account to any consumer credit report for any reason.</t>
  </si>
  <si>
    <t>In XXXX of 2015 Nationstar Mortgage LLC who is servicing the loan on my home in California notified me that my flood insurance, which was for more than the amount owed on my home was insufficient. I was required to obtain flood insurance for the replacement cost of my home at a cost of over 133 % of the original premium. Nationstar threatened to place forced insurance on my home if I did not insure it for more than 3 times the amount I owe on the mortgage.</t>
  </si>
  <si>
    <t>I regularly send direct principal payments to my mortgage servicing company, Caliber Home Loans. I have been making additional payments for greater then 20 months. For 17 of 20 months the additional payment has been applied the day of or 1 day after to my account. In both XXXX and XX/XX/XXXX ( and another month in XXXX XXXX the mortgage servicing company has directed the funds to " unapplied funds '' line item ; in practice holding my money and not applying it as directed to the principal of my mortgage in a timely manner ; costing interest. 
I have contacted them on each occasions with different answers from agents on each successive time.</t>
  </si>
  <si>
    <t>I opened a Citibank account on XX/XX/XXXX. I recently deposited a check from my salary, and then my online bank was closed. They also said that I can not deposit money with my Citibank card. However, they deduct service fees every month, and the bank card is not allowed to be used normally, and the service fee continues to be deducted. What is the use of this card?</t>
  </si>
  <si>
    <t>XXXX advertises a 0 % loan on the XXXX plow website XXXX I applied they confirmed then made a " mistake '' on the contract I called back and they were going to fix it. Instead i told the dealer that I would purchase the plow outright and paid with a check. XXXX never cancelled the original contract, two month into the loan i called to pay it off they charged me a 9.9 % interest. Please let me know what my legal recourse is. 
Thank you,</t>
  </si>
  <si>
    <t>harvard collections claims i owe them {$2400.00}. i do not owe them any money at all. this is inaccurate and its is very unfair becuase it is damaging my credit report with wrong information. it is creating an issue for me to purchase a home.</t>
  </si>
  <si>
    <t>I bought a car on XX/XX/17, and they sent me a XXXX XXXX card. I used the card for about a year and noticed the card kept going up they had signed me up for a card security plan. I tried calling but never got a response that made any sense. I finally requested a payment history, and when I talked to someone over there they refunded me XXXX but they did not refund the interest from 2017 until the present. I want the interest refunded, and they should be reprimanded for signing people up without them knowing. In a lot of places, they would call that forgery.</t>
  </si>
  <si>
    <t>On XX/XX/XXXX, I opened a Netspend Debit Account under a promotional offer advertised as : " Receive a {$200.00} credit when you Direct Deposit {$400.00} in 60 days. '' The terms stated that to qualify, I had to : Open a new Netspend Debit Account and pass identity verification between XX/XX/XXXX, and XX/XX/XXXX ; Enroll in direct deposit and receive a minimum of {$400.00} in qualifying direct deposits within XXXX days ; Receive the {$200.00} credit within XXXX business days of fulfilling those requirements. 
I completed all required steps : Opened and activated a new Netspend Debit Account on XX/XX/XXXX Passed identity verification Enrolled in direct deposit Received qualifying direct deposits totaling more than {$400.00} on XX/XX/XXXX According to the promotional terms, I should have received the {$200.00} credit by XX/XX/XXXX at the latest. As of the date of this complaint ( XX/XX/XXXX ), I have not received the promotional credit. 
I have contacted Netspend support to resolve the issue but have not received a satisfactory response or resolution. This is a clear case of failing to honor advertised promotional terms.</t>
  </si>
  <si>
    <t>I am filing a complaint against Capital One regarding the deceptive practices related to their 360 " high yield interest '' savings accounts. Capital One misrepresented the 360 Savings account as having one of the nation 's highest interest rates, yet failed to notify accountholders about the superior rates offered by the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obligations.</t>
  </si>
  <si>
    <t>I am filing a complaint against Cash App ( Block ,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</si>
  <si>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On XX/XX/XXXX, I was the victim of an imposter scam involving XXXX. I received an email falsely claiming to be from XXXX, stating my account was being " upgraded to a Business user account '' and that I needed to refund an " accidental overpayment '' of {$500.00}. The email instructed me to send {$500.00} via XXXX to complete the upgrade. I was tricked into sending {$500.00} from my Wells Fargo account. I reported the fraud to Wells Fargo on the same day ( XX/XX/XXXXXXXX ) and provided the original scam email as evidence. My claim number is XXXX. On XX/XX/XXXX, I submitted additional evidence to Wells Fargo. On XX/XX/XXXX, I filed a police report ( Case Number XXXX ) in Maryland and submitted it to Wells Fargo. On or around XX/XX/XXXX, Wells Fargo declined my fraud claim. The bank refused to reimburse the {$500.00} despite the XXXX XXXX XXXX XXXX ( effective XX/XX/XXXXXXXX ) requiring participating banks to reimburse consumers for imposter scams. Wells Fargo has violated Regulation E of the Electronic Fund Transfer Act because my authorization was obtained through criminal deception, which is not valid consent under federal law. The bank failed to properly investigate the context of the scam and wrongfully denied my claim. I am requesting that Wells Fargo reverse the denial and reimburse the full {$500.00}.</t>
  </si>
  <si>
    <t>On XX/XX/XXXX I got a call from XXXX XXXX XXXX about a debit from XXXX that I have no clue about. She said they weee going to take legal action about this old debit and file collections and one of the charges were XXXX XXXX?? These were for my partner they were trying to get ahold of not even me. It was for World Finance Company. XXXX XXXX for that type of loan? Even if they can send me proof of the debit as I requested via email to them I think something as serious as wire fraud is crazy!! That is a federal offense and I feel they were trying to scare me into just paying without proof of the debit.. this is wrong on so many levels! I also attached a copy of the email that they sent to me that is not even made out to the correct person. No idea who XXXX is.</t>
  </si>
  <si>
    <t>I have been trying for months to get my credit score from this company, they never help me, all they do is tell me to send copies of my identification to the credit company and nothing ever gets solve, first I wasn't able to get my credit score now I cant even log in to my account ... .this is ridiculous</t>
  </si>
  <si>
    <t>I contacted XXXX on XX/XX/XXXX because too much money was garnished from my wages. I was then told to contact Navient. I contacted them and was told that I would receive a check for the over paid amount ( XXXX and XXXX ) within 30-60 days. I contacted them again on XX/XX/XXXX because the second amount was garnished. I was then told it would be 60-90 days for my refund. I contacted Navient again on XX/XX/XXXX and told that now it would be 90-120 days and the money would be sent directly to my employer. I was never notified in writing or by phone call of the change in policy.</t>
  </si>
  <si>
    <t>I am filing this complaint because Nationstar Mortgage LLC purchased hazard insurance when my mortgage was transferred from XXXX in XXXX of 2015. I have had continuous homeowners insurance coverage through XXXX XXXX. I have provided proof of insurance to Nationstar, and I am still waiting for confirmation that the hazard insurance payments will be waived. When I call Nationstar Mortgage LLC, the phone bank employees : a ) can not find proof of insurance documents that I uploaded to their website, b ) can not locate documents that were FAX 'd to Nationstar by my insurance company, c ) can not locate the documents that I mailed by certified mail, d ) claim that my insurance has had a lapse of payments, e ) refuse to escalate phone calls to supervisors, and f ) if they have trouble speaking fluent english they refuse to transfer the call to someone who can speak fluent english.</t>
  </si>
  <si>
    <t>USCB America is reporting a debt on my credit file that I do not owe. I recently checked my credit and noticed this debt, I called and paid it immediately. I was very confused about this debt because I had no idea it even existed. I never received any calls, notices, or letters about this debt which violates my 30 day right to dispute. Not only did they fail to notify me for one of the debts but TWO. How does this happen? After paying and giving them some time to update I check my credit again to find that the debt is still being reported. This is ridiculous!!! I don't understand how this company can add these items to my credit without notifying me and continue to report debt when I have paid them. This is erroneous and ridiculous. I need this removed from my credit file IMMEDIATLY.</t>
  </si>
  <si>
    <t>DISCOVERBANK is reporting on my personal credit file. This account was opened fraudulently. Ive informed all parties of the issue &amp; provided the necessary documentation to support my claim. The data furnisher ( DF ) is not complying with federal law in regards to identity theft. Additionally, the data furnisher has not provided me with any evidence of an open contract, signed contract or any valid proof this was opened, authorized or created by me. 
( DISCOVERBANK XXXX, DISCOVERBANK XXXX )</t>
  </si>
  <si>
    <t>I am filing a formal consumer compliance complaint against Upstart Network , Inc. for the wrongful retention of consumer funds and accounting non-disclosure following a canceled vehicle loan contract due to dealer non-delivery. The Facts and Accounting : The original loan contract was executed with Upstart for a total of {$14000.00} involving the dealership XXXX XXXX ( Illinois ). Due to vehicle non-delivery by XXXX XXXX, the vehicle loan framework was officially canceled and an active Upstart XXXX XXXX ARL Dealer Buyback was initiated. While the loan framework was active, I made XXXX ( XXXX ) consecutive biweekly payments of {$160.00} each, paying a total of {$810.00} out of pocket to Upstart. To execute the formal ARL Buyback and close out the canceled framework, XXXX XXXX issued a direct buyout payment of {$14000.00} to Upstart. Following this dealer buyout payment, Upstart executed a final automated ACH draft of {$33.00} from my checking account to close the file. The Violation : The total sum of funds received by Upstart Network , Inc. across this transaction equals {$15000.00} ( {$810.00} in personal payments + {$14000.00} in dealer buyout funds + {$33.00} in the final account draft ). This cumulative amount exceeds the original loan value by {$460.00}. Even factoring in accrued interest during the brief active window of the account, Upstart Network , Inc. is wrongfully withholding my out-of-pocket fundsa total of $ 850.96on a nullified finance framework where the asset was never delivered to the consumer. Upstart has refused to issue a breakdown or a refund via standard customer channels, stating that " all pertinent information was contained in previous emails. '' Desired Resolution : I demand a formal, line-item ledger statement of the closed account and an immediate refund of my out-of-pocket payments totaling {$850.00} via check or direct deposit from Upstart Network , Inc . They can not legally retain consumer payments on a nullified contract.</t>
  </si>
  <si>
    <t>I am filing a complaint against CashApp ( Block, inc. ) due to inadequate customer service and unfair practices, which violates the Consumer Financial Protection Act ( CFPA ). Specifically CashApp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</si>
  <si>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Received a phone message with message of intent to sue for non-payment. Multiple family members and friends received the exact same message with my name, at the exact same time that day. I was unaware of this debt, having thought it was included in our bankruptcy. Upon some research I was able to determine this debt was over 9 years old. I am unable to pay as I am the only working and my husband is out on a medical injury, soon expecting surgery. I am unable to make such a substantial payment, and they have indicated I need to do so within 48 hours or they will take me to court and I could 'lose everything '. When contacted, the company would not allow me to speak to any of the named individuals ( each family member gave me a name of who called, all were the same first name but different last name ) only telling me that, that person was not available. I got the distinct feeling no such person existed.The number came up on everyones phone as blocked or restricted, however the number was quickly mentioned on the phone message.</t>
  </si>
  <si>
    <t>On XX/XX/XXXX, I deposited a cashiers check for {$11000.00} into XXXX of my business accounts. The check was issued by me, funded from another business account I own at a different financial institution. In other words, this was a transaction where one of my companies was paying another company I own, with both accounts under my name and full control. 
Upon deposit, the receiving bank placed a hold on the check under their Regulation CC allowance of 27 business days, citing that the transaction was considered unusual activity for the account. Since then, I have spoken with the bank three times both over the phone and in person. At each interaction, the staff has been professional and courteous, explaining that no individual at the bank has the authority to approve the release early and that the full seven-day hold must run its course before the funds are made available. 
My concern is not with their professionalism, but rather with their decision to use the maximum hold time allowed when this transaction is straightforward and easily verifiable. This is a cashiers check moving between two accounts owned by the same individual, with documentation and legitimacy that can be readily confirmed. In my view, the bank should be able to release the funds much sooner closer to two days rather than holding them for the full seven days without necessity.</t>
  </si>
  <si>
    <t>I received a series of email notifications from chime.com that an account had been opened, accessed, and that a debit card was sent to me. 
I had not opened this account or authorized one to be opened for me. 
I contacted chime.com customer service and they verified that an account had been opened with my email address, but in someone else 's name. They could explain how it was opened. 
They removed my email from the account but did not explain if there were any risks of identity theft.</t>
  </si>
  <si>
    <t>I applied for a mortgage to refinance my home. The process started on XX/XX/2020 when the loan official at Popular XXXX XXXX XXXX first check my credit after I signed an authorization. After an ardous process which included sending all required documentation the loan was denied on XXXX XX/XX/2020, based on information that I provided the Bank on XX/XX/2020. The information had to do with a payment moratorium provided by Popular XXXX based on the CARES ACT. However, the mortgage I was seeking to refinance is not in forebearance. The payments are up to date. The moratorium is on another property that is under-contract and about to close. Popular XXXX assured me in writing that following the CARES ACT they were not going to affect my credit nor report the moratorium to any credit agency. Nonetheless, the letter entitled " Disclosure of Specific Reasons Regarding Denial of Credit Application '' received on XXXX XX/XX/2020 states that the reason for the denial is " Mortgage account in forbearance-Not allowed by XXXX ''. This must mean that Popular XXXX reported to a credit agency ( XXXX XXXX ) the moratorium thus affecting my credit. My credit score is over 800 and my income to debt ratio is solid. After months of sending the same documents over and over ; it's not just for Popular XXXX to deny me credit based on an information that was not supposed to affect my credit according to the CARES ACT. Moreover, the only way this information could have ended on a credit agency is if Popular XXXX divulge it, since they are the loan owners and they were the ones that offered the moratorium as well as the extension. Popular XXXX knew I had another loan on moratorium ( not the one I was seeking to refinance ), not only because they offered it, but also because they asked for evidence about it and I sent it on XX/XX/2020.</t>
  </si>
  <si>
    <t>On friday XX/XX/2024 i received an inquiry on my Transunion credit report from XXXX XXXX I strongly believe this is a Mistake because that is my credit union but that inquiry is not attached to an open account.</t>
  </si>
  <si>
    <t>* * RE : CEASE AND DESIST VIOLATION OF FEDERAL LAW ( 15 U.S.C. 1692c ) * * To Whom It May Concern, This letter serves as formal notice that you must * * immediately cease and desist * * from all forms of communication with me regarding any alleged debt you claim I owe. This includes, but is not limited to, phone calls, emails, text messages, and written correspondence. Under the Fair Debt Collection Practices Act, specifically * * 15 U.S.C. 1692c ( c ) * *, once a consumer notifies a debt collector in writing to cease communication, the collector must stop all further contact except under very limited circumstances defined by law. Furthermore, your continued actions may constitute harassment and abuse under * * 15 U.S.C. 1692d * *, and unfair practices under * * 15 U.S.C. 1692f * *. In addition, I dispute the validity of this alleged debt. Your continued reporting or verification of this account to any consumer reporting agency, including but not limited to XXXX, XXXX, and XXXX, without proper validation may constitute a violation of the Fair Credit Reporting Act. * * You are hereby instructed to : * * 1. Cease all communication with me immediately. 2. Cease reporting this account to all credit reporting agencies. 3. Remove any existing negative reporting related to this account. Failure to comply with this notice will result in me documenting all violations and pursuing legal remedies available to me, including filing complaints with the Consumer Financial Protection Bureau, the Federal Trade Commission, and my State Attorney Generals Office, as well as seeking civil damages. This is an attempt to correct your records and resolve this matter without further escalation. Sincerely, XXXX XXXX</t>
  </si>
  <si>
    <t>XXXX XXXX XXXX XXXX XXXX XXXX XXXX # XXXX XXXX Texas XXXX repossessed my vehicle after only being 20 days late due to unexpected expenses. I reached out to the lender and I was told the vehicle was going to auction and there was nothing they could. They did not reach out to me or any of my 5 references that they demanded I provided. Came and picked up vehicle on the middle of the night and refuse to reinstate it.</t>
  </si>
  <si>
    <t>This CFPB complaint has been filed to request pursuant to FCRA 605B ( 15 U.S.C. 1681c-2 ) that you, the Bureau credit reporting agency , block information appearing on my consumer credit report that is the result of identity theft and fraud within 4 business days of you receiving this complaint. This fraudulent, inaccurate, and false information consists of : XXXX XXXX - XXXX XXXX XXXX - XXXX XXXX  - XXXX XXXX BANK XXXX - XXXX XXXX  - XXXX XXXX  XXXX XXXX  XXXX  - XX/XX/2025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as proof from the US Federal Trade Commission that all the aforementioned consumer credit accounts, collections, and hard inquiries are the result of identity theft and fraud.</t>
  </si>
  <si>
    <t>In 2020 I struggled to make payments due to covid and I reached out to GM asking them for a deferment and they still reported my account late even though it's been paid off. I would ask if you could please honor my request since the late history is incorrectly reporting on my credit and really hurting my credit.</t>
  </si>
  <si>
    <t>Ive been in communications with this company about inaccurate personal information on my credit report. Even after notifying them many times about this error they still continue to report this incorrect personal information on my le. Not only is it unfair, its also illegal. By law 15 U.S. Code 1681 ( b ) it clearly states that your reporting agency must follow these Reasonable procedures : require that consumer reporting agencies adopt reasonable procedures for meeting the needs of commerce for consumer credit, personnel, insurance, and other information in a manner which is fair and equitable to the consumer, with regard to the condentiality, accuracy, relevancy, and proper utilization of such information in accordance. 
This whole thing is unfair. This has been stopping me from being able to move forward in my life because of this inaccurate information being reported on my credit report. I have told ( TransUnion, XXXX or XXXX ) many times I do not consent to the inaccurate personal information listed below to be reported on my consumer report. This in clear violation of 15 U.S. Code 1681 &amp; 15 U.S. Code 1681c2 Inaccurate Personal Information ; XXXX XXXX XXXX XXXX XXXX XXXX XXXX XXXX XXXX XXXX XXXXXXXX XXXX XXXX XXXX XXXX XXXX XXXX XXXX XXXX XXXX 
My only name XXXXXXXX XXXX XXXX  My only address is XXXX XXXX XXXX XXXX XXXX XXXXXXXX My only date of birth is XXXX My only employer is XXXX XXXX XXXX XXXX XXXX are required to do what I am asking and block the following personal information from being reported to my consumer report within 4 days from the date of the receipt of this notice. I look forward to your response. 
Thank You XXXX XXXX</t>
  </si>
  <si>
    <t>I am a victim of identity theft. I lost my bag and now I am receiving a bank statement I did not make. Someone who has taken my things took advantage of and made this fraudulent account under my name. The fraud was opened on XX/XX/2019.</t>
  </si>
  <si>
    <t>on XX/XX/2019 I made an online payment from XXXX XXXX bank to MyLoanCare. The records online showed that the payment went through, however I found out on XX/XX/XXXX that the payment did not go through. I transferred some other funds XXXX XXXX to another mortgage because I thought that the payment for MyLoancare had already gone through. However since the funds were below by {$50.00} the payment had not gone through. I spoke to them on XX/XX/XXXX to see if there were any issues and I was not told about the NSF ( insufficient funds fee ) but then on XX/XX/XXXX I see there was a {$25.00} fee charged. 
I politely asked to see if this fee can be reversed as I was paying additional amount and that I had not been behind on my payments ever. However I was told that they would not reverse this charge. 
I politely asked to speak to a supervisor and they said the supervisor will also say no and I never got to speak to supervisor. I was just told the answer is no. 
I dont feel that I should be charged {$25.00} dollars because of a bank error in regards to transfer of funds. The online payment system for Myloancare is never updated and it kept showing that the funds had transferred and the site was never updated until XX/XX/XXXX. I had even called to see if there were any issues with the payment and I was told that they payment had gone through. Because of their misinformation the insufficient funds issue arose. However I have to bear the fees, the amount is small but I am more upset with the way they treat a customer that has always paid on time and that they do not take responsibility for their mistakes and failure to update their website and account information shown on their website when I log in to my account.</t>
  </si>
  <si>
    <t>XX/XX/XXXX Columbia Debt Recovery XXXX XXXX XXXX XXXX XXXX XXXX Subject : Request for Debt Validation under FDCPA To Whom It May Concern, Im writing for the XXXX time to you regarding a debt that appears on my credit report under your company name, Columbia Debt Recovery, with a balance of {$4000.00} and an original balance of {$3700.00}, allegedly opened on XX/XX/XXXX. I am formally requesting a validation of this debt, as is my right under the Fair Debt Collection Practices Act ( FDCPA ), 15 U.S.C. 1692g. 
Pursuant to this law, I respectfully request the following information : 1. Proof of the original debt and itemized accounting of the total amount, including how interest, fees, or other charges were calculated. 
2. A copy of the original signed contract or agreement with your company or the original creditor showing that I agreed to this debt.
3. The name and address of the original creditor, along with the original account number.
4. The date the account was opened, and the date of the last payment made, if any.
5. Proof that you are authorized to collect debt in the State of California.
6. A copy of the debt validation notice as required by 15 U.S.C. 1692g ( a ) if one has been sent. 
Until you provide the requested validation, including all documentation proving the debt is mine and legally enforceable, I request that you cease all collection activities, including reporting this account to credit reporting agencies. 
Please consider this letter a formal dispute of the alleged debt, and a request for full validation. If you can not provide this information, you must remove the account from all credit reporting agencies per the Fair Credit Reporting Act ( FCRA ). 
Thank you for your time and cooperation. 
Sincerely, XXXX</t>
  </si>
  <si>
    <t>on XXXX XXXX I opened disputes of debt validation with all 3 credit reporting agencies. XXXX, Experian, and XXXXn. XXXX  and Experian have not provided me with any proof of validation for the student loans reporting from XXXX, XXXX, XXXX etc. These loans showed {$0.00} paid, closed, and paying on time. After the inquiry of dispute, XXXX  and XXXX tripled the summary balance of amount owed and have yet to provide me with any documentation of validation for doing so. I have been on an IBR payment plan where all loans were consolidated and all payments were made on time.</t>
  </si>
  <si>
    <t>I am contacting you regarding fraudulent accounts that appear on my credit report. I did not authorize these accounts, nor do they belong to me. Their inclusion is wholly inaccurate, misrepresents my financial history, and is unfairly damaging to my credit standing. It is unacceptable for my credit record to contain false information that I am not responsible for. Such reporting erodes the accuracy and reliability of the credit reporting system and inflicts unjust harm on consumers like myself.</t>
  </si>
  <si>
    <t>I had my car loan with PNC for my previous car. 
After my previous car got sold carloan had been payed full by the dealership. 
My account got closed with PNC and I got locked out from their website! 
Which is normal but they still continued to take out car payments from my personal bank account! 
It happened twice! After the first time I talked to them and they promised it wouldnt happen anymore! 
Got a refund from them but it took 10 days! 
However happened again a month later! 
After the second time they took out money I called their customer service but they tried to blame me and they said I should of had to stop the payment myself through my online account! Which is impossible because 1 ) they locked me out from my online banking since my account been closed so how I supposed to cancel anything?! 
2 ) I did talked to them on the phone after the first time and they did say it wont happen anymore! I was just simply trusted them! 
After 11 days I still dont have my money back!</t>
  </si>
  <si>
    <t>XXXX XXXX XXXX XXXX XXXX XXXX, XXXX XXXX SSN : XXXX DOB : XX/XX/1983 please be advised that a copy of this letter has also been sent via certified mail. 
the equifax, XXXX and XXXX credit reporting agency have all been dishonest in its investigation of this chapter XXXX &amp; chapter XXXX bankruptcy being reported under my name, after receiving my credit report it was confirmed that the company XXXX XXXX was the supplier of this invalid account being reported, so I called them to request that I have this validated and they stated that they have not validated this debt with equifax, XXXX or XXXX, furthermore I went to the federal bankruptcy courts ( letter attached ) to attempt to gain any information being reported and they gave me an official statement that they do not furnish information to anyone or any credit reporting agencies. According to the bankruptcy court ( letter attached ) they do not verify bankruptcies with the credit bureaus. 
I demand direct, not third-party, proof according to FCRA, Section 611, paragraph ( 6 ) ( B ) ( iii ) or delete the bankruptcy from my record according to FCRA, Section 609 a ( 2 ). 
please provide me with the courthouse name, address, phone number of who verified this debt</t>
  </si>
  <si>
    <t>On XX/XX/2021, I placed an Order for Two wire transfers, in the amount of {$14000.00}, each, at Wells Fargo Bank Branch # XXXX, in XXXX, Washington and the phone number for them is XXXX I was told that the funds will be available, in Three days. 
I called and left a message for XXXX XXXX XXXX and XXXX called me back, and she ultimately couldn't find my funds and where the funds went. 
From there, XXXX exculated the matter and an Executive XXXX XXXX is working on what he does and told him that Wells Fargo has damaged me, and I need to be compensated for the loss of taking care of my private affairs.</t>
  </si>
  <si>
    <t>Jefferson Capital systems llc has reported collections on my account. This is in Violation of the Fair Credit Reporting Act, Violation of the Fair Debt Collection Practices Act, and Defamation of Character. I have no idea who Jefferson Capital systems is and I do not owe them anything. I want this removed immediately.</t>
  </si>
  <si>
    <t>I was somehow opted into debt protection insurance by Best Buy on a store credit card in XXXX. There would have been no need for this. Ive never had a payment large enough to ever need this. I have always had autopayments and usually once per year I pay my balance down to XXXX. 
I was either strongly misled into getting this protection or opted in by accident. Either way Best Buy or Citi have never sent an annual notice and have taken thousands from me and others I see online. Worse yet is I've paid interest on all the balances that should've been put towards my principle. 
I looked at my account activity in XXXX of XXXX because Best Buy and Citi also gave my rewards points to my XXXXXXXX XXXX  account who also has the same name. They've screwed our accounts and payments up multiple times over the years. When I looked at my activity I noticed a weird charge for XXXX that I didn't buy. The description of the charge isn't even clear what it is. That in itself is misleading. After looking back several months I realized I had these charges every month and that my payments were pointless. 
I called Best Buy customer service in early XXXX to dispute these charges and cancel the service in the meantime. They reviewed this situation and didn't refund me a XXXX. 
I believe Best Buy has a massive UDAAP violation. As well as an FCRA violation because I believe my father opted in for his Best Buy account. They have messed up our accounts several times throughout the years. The worst part is that I only asked to be credited the charges since the last year when I paid my account to XXXX. 
I strongly encourage any consumer to avoid Best Buy and Citi for any financing. They have horrible predatory practices. They have horrible credit maintenance and people deserve better.</t>
  </si>
  <si>
    <t>This company sent me a collection letter on XX/XX/2018 regarding an alleged debt that I know nothing of. I responded within 14 days, requesting debt validation according to the FDCA to provide proof of identity used to open the alleged account as well as a signed contract bearing my signature showing obligation to pay. They responded on XX/XX/XXXX with a copy of a bill print out. I sent a 2nd request for debt validation since a copy of a bogus bill that is not mines does not constitute as debt validation under the FDCA. Again I requested proof of ID used to open such account and a signed contract bearing my signature, along with a copy of a judgment and proof that they are licensed to collect in California. Their response was that they sent the bill print out as validation. This company is violating my rights, threatening me and at this point, I'm considering it as continuous harassment. They failed to validate this debt, they fail to respond to the requests in my letters and they continue to break the law and violate the Fair Debt Collections Act. They need to cease collections and stop harassing me.</t>
  </si>
  <si>
    <t>Good morning, On XXXX XXXX I spoke with a representative by the name of XXXX XXXX at Mercantile Adjustment Bureau regarding an outstanding balance with XXXX, I requested to pay the prinicipal balance and for all interest to be removed. XXXX was very nasty stated they will only remove half and if I do n't pay it it will continue to affect my credit, at that time I requested EXPLICITLY to not be contacted at this number, he said ok then hung up. On XXXX XXXX I received a call after I put in a DNC from XXXX XXXX at MAB, when picking up the phone I advised him that he is in violation of the request, he said he understood and asked if I wanted information regarding my account or no. He stated the same offer he gave me the day prior, still unwilling to work with me, and also in violation of my DNC request I advised XXXX that I can not accept the offer and that AGAIN I do not wish to receive calls as previously requested and that I may have to contact an attorney, XXXX said " whatever '' then hung up.</t>
  </si>
  <si>
    <t>COMPLAINT ID XXXX Through CFPB, I was able to get a response from the bank however they did not investigate the matter in detail. 
I received a response back through CFPB from US bank regarding my business checking account. The original complaint was that I did call before I've opened up a business checking account with a promo to make sure I did qualify. Upon recieving an approved answer from the representative I've opened up the checking account. Before I've deposited the XXXX dollars needed qualify for the promo I did call yet again to make sure I did qualify. 
I've spoke with 2 different representatives to make sure I did qualify. 
Also. I've called after 60 plus passed days to make sure I was going to be receving the promotional offer. In which the representative yet again was 100 % sure I would get the promotional offer. This particular representative 's name was XXXX. 
If all of these calls were recorded then they should be logged with US bank. 
In all honesty, I did not know I would qualify for the banking promotion. And in all honesty, I did call to get guidance on whether I would qualify. The answer I got from all of the representatives were yes I would qualify. That is why I've made the choice to open the business checking account. 
I kindly ask that you would please grant the promotional offer as assured upon by all of your representatives.</t>
  </si>
  <si>
    <t>On XX/XX/XXXX Flagstar Bank purchased my mortgage from XXXX. In XX/XX/XXXX I was asked to provide proof of flood insurance. I contacted my insurance agent and they in turn provided proof of policy. later that week I received a letter from Flagstar stating that the policy ( which was the same I'd had with Amerifirst ) was not acceptable to Flagstar and that they had purchased/placed a flood policy on my residence. The letter dated XXXX showed a policy with effective date XX/XX/XXXX more than six months retroactive at a cost of {$2600.00}. My prior existing policy was still in effect during that time and there was never any indication that it was not acceptable. In fact, the existing policy had actually completely covered a flood claim on the property in XXXX of XXXX. How can I be forced to pay 6 months of coverage for time that had already passed when I already had coverage? This seems criminal!</t>
  </si>
  <si>
    <t>On XX/XX/XXXX, me and my husband frantically drove to a place advertising that come to XXXX XXXX XXXX to come get a car, regardless of credit and with nothing down. Me and husband were desperate to get a car. So we drove from XXXX XXXX XXXX all the way to : XXXX XXXX, XXXX  approximately one and half drive. With the understanding we would get a good deal. But when we purchased the XXXX XXXX, we thought we had a fantastic deal. The calculations of ( 60 ) months a ( 22.99 % ) was justified to my credit that had us paying monthly of {$490.00}. Inquire about the no down payment as advertised, the XXXX XXXX XXXX salesman avoided the question. Stated ; no aware of that and said firmly!!! you have to leave a down payment, that our policy. 
XXXX, was successfully making monthly payment of ( {$49000.00} ) for approximately ( 2 ) years the work started slowing down. XXXX, decided to voluntary call Credit Acceptance and tried to negotiate a new payment plan, the agent stated could not do it. So XXXX inform them to come and get it. Then I read a article that Credit Acceptance were over charging the Auto Customer 's with High interest fees ( 22.99 % ) That's why it took us so long to pay back the Auto loan. Now Credit Acceptance hired a Debt Collector lawyer to garnish my wages. I think it was not fair to over charge with the illegal interest rate. Also : The CFPB and the NY Attorney General filed a significate law suit accusing Credit Acceptance of deceptive practices, hiding true costs, using aggressive collection tactics and violating New York 's interest rate limits.</t>
  </si>
  <si>
    <t>This company is a XXXX XXXX posing as a credit card company. Read the reviews/complaints dating back to XXXX  and before. 
Their return address is a XXXX XXXX XXXX Probably located in back of XXXX  in the XXXX.</t>
  </si>
  <si>
    <t>Subject : Regarding fraudulent account from Westlake financial services, XXXX XXXX, CA Dear CFPB, I am victim of identity theft. Someone got car loan with my details from Westlake financial services. I sent all my documents such as SSN card, police report, drivers license and latest utility bill, FTC complaint, ID theft affidavit to Westlake financial services to prove that I did not buy any car in last 2 years, and so did not get any car loan from any financial institution. I sent all documents on XXXX of XXXX and disputed the account. Since then I kept calling them to know the status. I might have called more than 100 times since I first I disputed the fraudulent account and each call last for 20 min to half hour on an average. They really killing my valuable time. Whenever I call them, they say it is still under investigation and not resolving the issue. Interesting thing is, car was bought on different address and they gave loan without proper verification. 
I have decided to bring this issue to your notice because Westlake is not at all working to resolve the issue. Can you please work with Westlake financial services and try to resolve the issue. I really appreciate your help in this regarding.</t>
  </si>
  <si>
    <t>I am a victim of identity theft and have filed a report with the Federal Trade Commission ( FTC ), complaint number XXXX. This has been incredibly stressful and has caused significant financial and emotional harm. As a resident of Florida, I have the right to an accurate credit report under the Fair Credit Reporting Act ( FCRA ). The failure to remove this inaccurate information is a violation of the law and continues to cause me harm. 
My Equifax credit report includes several fraudulent accounts and inquiries : Accounts : XXXXXXXX XXXX XXXX XXXXXXXX : Account number XXXX, opened on XX/XX/XXXX. 
XXXX XXXX : Account number XXXX, opened on XX/XX/XXXX. 
XXXX  : Account number XXXX, opened on XX/XX/XXXX. 
XXXXXXXX XXXX : Account number XXXX, opened on XX/XX/XXXX. 
Inquiries : XXXX XXXXXXXX XXXX : Inquiry date XX/XX/XXXX. 
XXXX XXXX : XXXX date XX/XX/XXXX. 
XXXX XXXX XXXX XXXX : Inquiry date XX/XX/XXXX. 
I did not authorize any of these accounts or inquiries, and I did not receive any services from them.</t>
  </si>
  <si>
    <t>i recently refinanced, and the mortgage was sold to Amerihome mortgage. My homeowners insurance information was in the mortgage applications, but I received a note after the sale of the mortgage directing me to a very unprofessional website with no identification saying that I needed to enter my insurance information into the website. The letter had no identification that showed it was from the new servicer. After a second notice, I called the servicer that it was valid. I entered the homeowners insurance information into the website. 
I recently got another letter saying that the final notice on the insurance information even though they had it already and if I didn't provide it, they would input their own insurance. I feel this is and attempt to fraudulently switch my insurance to provider under their control.</t>
  </si>
  <si>
    <t>I have filed a charge back with my Citi Card for a charge from XX/XX/2019. I got electronic paperwork from Citi on XX/XX/2019. They stated they would not honor my charge back without more evidence from me. They also stated that it included the merchants response in the letter to my charge back request. The merchants response is not included and I can not make a proper rebuttal to the merchants claims without it. I have included a copy of Citi 's electronic correspondence with this complaint.</t>
  </si>
  <si>
    <t>Aes is violating the sweet settlement terms by demanding payment on my account, That should be under federal discharge. They should be putting it on XXXX forbearance, my XXXX site says that it is processing discharge. Aes saying that they do not see anything accept that it is under review, and that is not what I am seeing, and nobody will help me.</t>
  </si>
  <si>
    <t>I had a high yield savings account with American Express, which I closed last year. One of the reasons that I closed the account is because American Express made it so difficult to access the account when it attempted to merge online log-in credentials for its credit cards and its banking accounts.
Anyway, I called American Express today ( XX/XX/XXXX ) to obtain the tax information to file my XXXX federal and state income tax returns and they were completely unhelpful. Not only were they not able to help me restore my log-in credentials so that I could print my XXXX Form XXXX myself, but the representative that I spoke with could not even give me the total interest amount for the year or email me a copy of the tax form. The only thing she could do was mail a paper copy, which takes a few weeks to arrive in the mail and may come after my tax filing extension deadline. It is beyond frustrating to not be able to obtain simple tax information from a phone call.</t>
  </si>
  <si>
    <t>I have already filled out the report on a previous report to this XXXX and it clicked me out that I did not want to be identified as filing the report. It was a mistake and I am XXXX XXXX and want this report to be tied to the previous report to this one. It happened in XXXX XXXX Texas with the XXXX XXXX XXXX XXXX transfer of money thru the Chase account and thought Chase was notified they would not stop the money within only hours of the original transfer of money. 
This report should be connected to the previous report I have already sent by hitting the incorrect key.</t>
  </si>
  <si>
    <t>XXXX XXXX .. Loan Processor from B of A ... Closed an Assumption Loan ... Between Spouses Against ME in XXXX without Due Process .. No Warning .. No XXXX .. No Letter Has Lied .. proven in her XXXX to Me as to why. On XX/XX/XXXX she gave me reasons for Dropping the Loan and I have Proven XX/XX/XXXX.... SHES Lying .. all in XXXX to Me. I would rather be Denied a Home Loan than to be Dismissed FALSELY. I was Not denied .. My Case was Simply CLOSED for No Good Reason. And XXXX XXXX lied to me for reasons Why.</t>
  </si>
  <si>
    <t>MOHELA transferred loans to new StudentAid MOHELA platform in late XX/XX/XXXX. There is a line item in the account history from XX/XX/XXXX : XX/XX/XXXX Capitalized Interest {$1000.00} MOHELA told me on the phone ( talked to representative then supervisor XXXX XXXX XXXX XXXX XXXX XXXX XXXX XXXX that they can not identify any qualifying events for capitalization in XX/XX/XXXX. Also stated this capitalized interest was " from prior servicer ''. However the principal of my loan has increased from the initial disbursement, and MOHELA. 
Call reference number XXXX XXXX XXXXXXXX Online records of prior account statements are no longer available. I asked to have physical copies of all statements from prior account be mailed to me. The supervisor stated she would arrange this. It has been flagged for further investigation. 
I am concerned other borrowers may be similar affected by inappropriate interest capitalization and would like the CFPB to investigate my case and others.</t>
  </si>
  <si>
    <t>This is for Truist Bank who merged with SunTrust. I noticed that I was being charged 36.00 fees with an available balance. This has happened over 6 times. I went online and made a phone appointment twice.No one called. Finally went into a branch. The rep was very nice. She stayed she could see where I was charged multiple fees with an available balance for a while..but they were coded something else. She called Corporate who states that a manager has to review and refund my account. There was no manager available. Rep says manager is away for 3 weeks. Horrible merger. These fees caused a trickle down effect causing more overdrafts. Online banking is horrible. I just want the fees back from the last 30 days. I am fighting XXXX and I can not continue being charged these fees due to bank errors.</t>
  </si>
  <si>
    <t>I recently discovered that on XX/XX/year&gt; Midland Credit Management, a debt buyer, accessed my XXXX credit report without my consent after I had informed them in writing on XX/XX/year&gt; to stop contacting me and that I did not consent to giving them my personal information or to enter in to any type of contract with them.</t>
  </si>
  <si>
    <t>American Credit Acceptance is erroneously reporting payments after this account charged off XX/XX/XXXX. They continuously add payment history that shows payment, then they go back to reporting new 30, 60, 90 day lates to cause detriment to my fico score. They reported a paid status for XX/XX/XXXX thru XX/XX/XXXX and then 30, 60, 90 day late and Charged Off again for XX/XX/XXXX. They also continue to increase the balance owed but I have not recieved any statements. I was made aware of these errors using online versions of my credit reports but I have ordered paper copies so that I can provide them if needed.</t>
  </si>
  <si>
    <t>On XX/XX/XXXX and XX/XX/XXXX my brother sent {$600.00} and {$260.00} through XXXX XXXX using his card from WF ending in XXXX. I received it through XXXX XXXX  and cash it out to my Wells Fargo account ending in XXXX My Brother filed a dispute against multiple transactions in which mine was mistakenlya part of so Wells Fargo then asked XXXX XXXX for the money back and which cash app took the money out of my account on XX/XX/XXXX. I received a withdrawal from XXXX XXXX for {$600.00} and {$260.00} on XX/XX/XXXX I called XXXX XXXX and they let me know it was a dispute for the amount back in XXXX so I went to My brother. The disputes were withdrawn from Wells Fargo account XXXX ( XXXX XXXX ) taking the money back from his account ... and that's where the trouble begins Wells Fargo says they are not in charge of sending me my money back. Cash app says they are not in charge of sending me my money back. Nobody knows where these funds have gone. 
The money has clearly been retaking out of My Brothers account, but has not been re-dispersed to me. After multiple phone calls to Wells Fargo and multiple phone calls to XXXX XXXX  through both my account and his account they are basically playing ping-pong . Wells Fargo is saying to go to XXXX XXXX  and follow dispute and XXXX XXXX is telling me to go to Wells Fargo and file a dispute. I thought a dispute with Wells Fargo, which ended in a denied report. 
XXXX XXXX refuses to let me file a dispute. XXXX XXXX has told us - on both accounts- they have no knowledge of any refund and that they will not be receiving a refund through My Brother 's WF account Wells Fargo has told us that they also do not provide refunds for third-party vendors and to take it up with XXXX XXXX My name is XXXXXXXX XXXX XXXX His name is XXXX XXXX XXXX has traced where the money has went and is really disheartening and the money is lost in air right now. Please help me</t>
  </si>
  <si>
    <t>I was going through my credit and noticed a vehicle that was repossessed several years ago is still reporting with several inaccuracies, such as balance, original balance, date of last activity, status, etc. Plus I had a Gap insurance on that vehicle and I never received and documentation after the repo. It shows charged-off with wrong balance, and it's definitely violations of FCRA and MVISA.</t>
  </si>
  <si>
    <t>I attended XXXX XXXX University to further my education after High School. I was a first time generation college student in my family and I was unable to afford my college education without student loans. I looked into Sallie Mae and they assured me they would work with me once I was graduated. Instead of explaining that it is better to take our yearly loans, they told me semester loans would be the best. After XXXX college, I had XXXX separate loans at Sallie Mae at 9 % interest a piece. I sent in XXXX monthly payments of {$25.00} for XXXX loans to lower my interest rate during college. However, for XXXX years, my mother and I were harrassed by the company for " not paying the payments on time '' even though my mom sent checks every month. My mother works at our bank and has copies of all checks sent to Sallie Mae with the dates written and when they were cashed by Sallie Mae. In XXXX of 2015, XXXX sent back only ONE of my XXXX payments and said I did not have any loans with them. How XXXX check of XXXX, that were mailed in the same envelope, got returned I will never understand. I have been charged a late fee for that, even though our XXXX checks had been cashed. Then, I came to realize that for the XXXX years we were being harrassed. My loan payments were being applied to all the wrong loans after months of promises that it was fixed for good this time. Because of Sallie Mae wrongly applying my loans, I was the one pentalized with a late fee. I have called for help on my payments and they are not helping me at all. They said my XXXX payments could equal up to {$1300.00} a month and I am currently earning {$1100.00} a month. Sallie Mae harrassed my mother and I at our work places, even after those numbers were put on a " NO CALL LIST '' and we almost lost our jobs as a result.</t>
  </si>
  <si>
    <t>I C System at XXXX XXXX XXXX XXXX XXXX, MN. XXXX has been sending me collection notices in the amount of {$430.00}. The collection has been reported as past due. I do not know this company. i have never done business with this company. this company does not have a contact with my signature.</t>
  </si>
  <si>
    <t>XXXX XXXX was my previous mortgage servicer. Required documents were emailed to XXXX XXXX XXXX XXXX that was required for short sale processing there is a purchase contract on property, its a cash sale, purchaser are ready to close. Short Sale was in processing with XXXX XXXX, BPO with interior photos completed. Mortgage was transferred to Select Port Folio XX/XX/2021 I spoke with Customer Service Select Port Folio informed them I need the short sale processed ASAP because I don't want to lose the purchaser for my home. I would appreciate your immediate attention with this urgent problem. Requested Relocation fee of {$10000.00} because Im selling my home on short sale.</t>
  </si>
  <si>
    <t>In XX/XX/2021 I spoke with numerous representatives w/ Navy Federal Credit Union in regards to a credit account. I was seeking the debt validation letter from the company. They told me they did not have that, i proceeded to ask for the original instrument of indebtedness and the young lady expressed to me that they didn't have it because the alleged " contract '' was done electronically. I since have not spoken to them but they have continued to harass and use abusive practices against me through interstate commerce in regards to a debt that has not been validated. I have attached documents to show evidence of these claims, i also enclosed in those documents a debt validation letter to assure the company gets it.</t>
  </si>
  <si>
    <t>I had XXXX fradulent charges on my XXXX credit card ( managed Wells fargo ) for {$380.00} on XX/XX/year&gt;. While these charges were still pending I called XXXX and notified them. They close the card and I filed for fraudulent charges. 
They rejected the claim stating that this was from XXXX, a company that I have auto pay monthly for my phone bills and since I regularly work with them, it can't be fradulent. 
I appealed, I included a statement ( via online chat with XXXX XXXX customer service that they did not request these payments ) and a police report ( incident # XXXX from XXXX police dept. ) And they still rejected my appeal twice over. 
After the first rejection, they refunded 1 payment but expect me to pay for the other charge. After appealing 3 times and getting rejections, I seriously find their decision making very poor and come to you to file a complaint and hopefully force them to take proper action with my claim.</t>
  </si>
  <si>
    <t>On XX/XX/XXXX, I deposited XXXX checks from freelance work. Unfortunately, the bank identified some issues with them. I had other available funds in my account besides the checks, yet the bank placed a hold on all my funds. 
I repeatedly asked customer service why this was happening, when the other funds would be available, and what I could do, but I kept receiving conflicting answers. In fact, a couple of representatives assured me that the hold would be released on XX/XX/XXXX ( attached is proof of this ). However, on the XXXX, they changed the release date to XX/XX/XXXX, and now they are saying XX/XX/XXXX. 
They provided me with a phone number for more information and stated that I should have access to my non-check funds, but no one seems to know how to remove the hold and what is actually happening. I relied on their assurance that the funds would be available on the XXXX and planned accordingly, but now I am late on my basic bill payments. 
I also filed an official complaint with the bank regarding this issue, but it was unsuccessful.</t>
  </si>
  <si>
    <t>On XX/XX/2025, I submitted a complete identity theft report and signed affidavit to Equifax, along with all required identifying documentation and a copy of the data breach notice from the United States XXXX XXXX, dated XX/XX/XXXX, XXXX breach which led to the compromise of my personal data and is the basis for my identity theft claim. 
I included details for each account on my credit report that did not belong to me, as required by FCRA XXXX XXXX. The complete package was sent via certified mail and delivered on XX/XX/XXXX, XXXX have the certified mail tracking number and the green return receipt card as proof of delivery. 
As of today, XX/XX/2025, I have not received any confirmation, response, or resolution from Equifax. It has been nearly XXXX months without action or communication, despite the FCRA 's XXXX requirement to block fraudulent information once proper documentation is received. 
This failure to comply with the Fair Credit Reporting Act ( FCRA XXXX ) has caused significant harm to me, including the continued presence of fraudulent accounts on my credit report, the denial of legitimate credit applications, and emotional distress resulting from this ongoing issue. 
I respectfully request that the CFPB investigate this matter and ensure that Equifax complies with their legal obligations to block the fraudulent information and provide confirmation of action taken.</t>
  </si>
  <si>
    <t>I am filing a complaint against Cash App ( Block Inc. ) due to inadequate customer service and unfair practices, which violated the Consumer Financial Protection Act ( CFPA ). Specifically, Cash App failed to take timely and effective measures to prevent an address fraud on their platform, leaving my account, vulnerable and unprotected. Furthermore, their dispute and resolution process was unfair and deceptive, as they did not comply with error resolution requirements under the Electronic Fund Transfer Act ( EFTA ) and regulation E. These actions have caused significant inconvenience and financial loss and I am seeking appropriate redress for these violations.</t>
  </si>
  <si>
    <t>I am contacting you to inform you that I am a victim of multiple data breaches from XXXX XXXX XXXX XXXX, &amp; the dark web, etc therefore, I would need all of the accounts on my credit report that have been exposed and compromised to be blocked and permanently deleted pursuant to 15 USC 1681c-2 ( a ) within 4 Business Days</t>
  </si>
  <si>
    <t>I have filed numerous complaints with every available agency requesting that XXXX/Google investigate the fraudulent transactions and wallet account that was made without my knowledge or consent. I am now providing what I have asked Google to provide for the last three years. There is no way Google does not have the information I will be attaching. They have deleted XXXX from the account an now state its on someone else 's account, that was able to take all of my unemployment benefits with no password required as google stated in a prior response. Google also stated that all monies were refunded did they then refund to the account that was tied to mine? I did not receive that money, I would like to see proof that its my account, since all merchants stated I made no purchases. The attached documents are proof this was not my doing. Not including all of the conflicting information that has been on every other complaint. Not one charge am I able to verify or know who made. I am a identity theft victim. The person on the attached documents lives less than a hour away from me and knows were I am at all times due to XXXX XXXX and being linked to the account. Google will not protect me and has not protected my info as it states they do.</t>
  </si>
  <si>
    <t>I setup my payment a head of time, got a letter date before it was due saying my banking info not working please update. I been on phone from XXXX to almost XXXX off and on still no help, even told me to call my bank who just said as always funds and account fine, suggested ask for someone who inputs payment and get confirmation which after time calls and even tried to contact corporate office said their system not able to process my checking account of ATM master card, no idea why and after all the calls and chats to them, my bank even XXXX  XXXX but it is their store card and process that the issue so more of a run around then helpful. XXXX XXXX XXXX XXXX XXXX  and do not need stress or XXXX  XXXX beat trying to fix something thats not my fault or in my ability to fix as if mail check same info on the check as they inputted or had computer input. Its expensive enough to use credit card without being ding for no payment when its their issue or machine holding issue up out of the blue after months or years of working. I am stressed, tired and confused by this mess please advice. Letter letting me know showed up today payment was to been processed today due tomorrow.</t>
  </si>
  <si>
    <t>I was sent a letter stating that I was in default, I checked in at the website, it shows my payment not being applied on the day I made it, my conformation no. Is XXXX, I also had a message saying that I called and made arrangements to pay on the third, I did not, I call and talked to a XXXX employee number XXXX and was told to disregard. Just trying to stay out of trouble, please help if you can, thank you.</t>
  </si>
  <si>
    <t>I checked my credit report and found that some of the data were incorrect. The three credit bureaus are required by Sections 609 ( a ) ( 1 ) ( A ) and 611 ( a ) ( 1 ) to verify these accounts ( A ). It is not permitted to report these accounts as unverified information without giving any supporting documentation within the legally permitted time frame. My credit report lists the following issues as needing investigation and correction due to inaccurate reporting in my file XXXXXXXX XXXX XXXXXXXX Balance : {$190000.00} XXXX XXXX XXXXXXXX Balance : {$0.00} XXXX XXXX XXXX XXXX Balance : {$0.00}</t>
  </si>
  <si>
    <t>I signed my student loan refinance agreement with SoFi on XX/XX/XXXX. Section F7 of my loan agreement contains the details of the Direct Deposit Discount. I fulfilled the requirements by opening up a Checking and Savings account within 30 days ( XX/XX/XXXX ) and should have received a 0.25 % discount in the months during which I made at least {$1000.00} of direct deposits ( which I did for 6 months in XXXX plus 3 months in XXXX so far ). I have not received this discount to date. On XX/XX/XXXX, an escalated ticket was submitted to research the situation. On XX/XX/XXXX I was informed that my promotion request has been denied for the following reason : " You can not use multiple profiles to qualify for a discount. This will remain denied. '' I emailed and called back on XX/XX/XXXX asking where it says in the eligibility requirements terms and conditions that I can not use multiple profiles to qualify for a discount. I have not received a response and believe that SoFi is currently in breach of their contract. Further, the reason I opened my bank account under a separate profile from my loan account was due to a SoFi technical system limitation. However, I was told by customer service multiple times ( including during the account creation process ) that because I'm the account holder on both profiles, it should not affect my eligibility. I was most recently told this on XX/XX/XXXX by XXXX XXXX ( employee # XXXX ) in the Loan Servicing department. I'm attaching the specific language from section F7 of my signed loan agreement that does not reference anything pertaining to account profiles.</t>
  </si>
  <si>
    <t>Plaza Services LLC, must comply with both the Florida Consumer Collection Practices Act ( FCCPA ) and the federal Fair Debt Collection Practices Act ( FDCPA ).
However, they have placed a derogatory collection on my account without validating the debt was mine. I have sent multiple formal requests for validation in the past months and the credit derogatory note was never marked as disputed nor removed from my credit report. 
They are also not licensed in the state of Florida where I live. XXXX XXXX XXXX XXXX XXXX XXXX XXXX could not retrieve licensing for this company which I discovered is in violation of the state licensing requirements. I can provide time- stamped proof of their non compliance. XXXX XXXX XXXX</t>
  </si>
  <si>
    <t>This complaint is in regards to a closed XXXX XXXX card owned by Comenity Bank. 
On XX/XX/XXXX and XX/XX/XXXX I received a returned payment fee and finance charge. Both fees were refunded. On XX/XX/XXXX, I received a late fee of {$35.00} and a finance charge of {$2.00}. The fees were supposed to be refunded. Instead, I received a " late fee refund '' of only {$6.00}, and I was left with a balance. 
I paid the remaining balance in full to avoid any further fees. My balance should have been {$0.00}. 
I am asking for the removal of all fees on the account, a refund ( via check to the XXXX XXXX address on this complaint ) of the payment made on XX/XX/XXXX, and verification that the balance is {$0.00} and no further fees will be assessed on this closed account.</t>
  </si>
  <si>
    <t>I received an unsolicited XXXX debit card in the mail from " netSpend. ", associated with " XXXX '' - shown in the documents sent with this unsolicited card. 
I have never heard of this company or bank, have never done business with them, and certainly do not accept any unsolicited credit/debit issues. 
Offers of this type can cause serious financial damage if intercepted by a crook.</t>
  </si>
  <si>
    <t>XXXX XXXX XXXX XXXX XXXX XXXX XXXX XXXX XXXX, VA XXXX XXXX XXXX Code $ 1681c-2 a consumer reporting agency shall block the reporting of any information in the file of a consumer that the consumer identifies as information that resulted from an alleged identity theft, not later than 4 business days after the date of receipt.
It has been 30 days and you are in VIOLATION of this law because I am a victim of identity theft!! Please delete these items IMMEDIATELY!
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protected consumer. NO CONSENT IS IDENTITY THEFT. As a consumer lam demanding the deletion of the accounts listed IMMEDIATELY! 
XXXX XXXX XXXX XXXX</t>
  </si>
  <si>
    <t>My account was blocked because they stated it saw suspicious activity I called gave them my information to verify me. They stated they needed my ID I asked to speak to the fraud department. They stated to me that the fraud department do not accept phone calls. I even provided them with the checking and routing number that I use to pay my monthly bill.</t>
  </si>
  <si>
    <t>I am writing to formally express my concerns regarding Zelles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 The CFPBs finding indicates that Zelle has not only neglected to protect consumers but has also allowed repeated offenders to exploit the system, leaving users vulnerable to scams. This lack of accountability and transparency is unacceptable and raises serious concerns about consumers safety.</t>
  </si>
  <si>
    <t>On XX/XX/2022 there was an issue that occurred with XXXX XXXX  that I was not aware of. I got a letter in the mail on the XXXX of XXXX saying that XXXX XXXX is under investigation. Stating that theyve been issuing loans to XXXX XXXX with hidden fees and interest rates. Break some sort of Act between financial institutions and the military. I was told the hidden fees that I had been charged would be issued in a paper check in the mail box. I have not received this check.</t>
  </si>
  <si>
    <t>I filed a dispute with AMEX. 
They declined it because they want documentation showing the purchase was unsafe prior to buying it. 
How am I supposed to provide documentation showing it was unsafe? 
I was not aware until after the purchase. This is why I filed the dispute. AMEX is not protecting me as the customer and allowing fraud merchants to recive payment for unsafe goods.</t>
  </si>
  <si>
    <t>I have opened a money market account and a realtionship checking account with them and the promotion code is XXXX XXXX- Promotion, XX/XX/XXXX, XXXX {$300.00}. where they agree to give me XXXX bonus as long as I put XXXX in their account and leave for 90 days. I follow their request and they refuse to give me bonus, claim that I need flyers to have that. However, it was a public offer that post online, and I have confirmed with banker for this as well, they keep that offer online even I tried to resolve the problem with them till XX/XX/XXXX. I am frustrated the bank service can't promise what they have to me. 
Go to the website, even now it is clear they still run this promo period to period. The requirement is exact the same. They just cheat with customer and tried to get our money, I am disappointed about commerce bank credit -- could not keep the word as they said on flyer. 
https : //www.commercebank.com/XXXX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</si>
</sst>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charset val="1"/>
    </font>
    <font>
      <b/>
      <sz val="12"/>
      <name val="Arial"/>
      <charset val="1"/>
    </font>
    <font>
      <b/>
      <sz val="10"/>
      <color rgb="FFFFFFFF"/>
      <name val="Arial"/>
      <charset val="1"/>
    </font>
    <font>
      <sz val="10"/>
      <name val="Arial"/>
      <charset val="1"/>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vertical="center" wrapText="1"/>
    </xf>
    <xf numFmtId="0" fontId="3" fillId="0" borderId="0" xfId="0" applyFont="1"/>
    <xf numFmtId="164" fontId="3" fillId="0" borderId="0" xfId="0" applyNumberFormat="1" applyFont="1"/>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zoomScaleNormal="100" workbookViewId="0">
      <selection activeCell="B28" sqref="B28"/>
    </sheetView>
  </sheetViews>
  <sheetFormatPr defaultColWidth="8.7109375" defaultRowHeight="15" x14ac:dyDescent="0.25"/>
  <cols>
    <col min="1" max="1" width="34" customWidth="1"/>
    <col min="2" max="9" width="22" customWidth="1"/>
  </cols>
  <sheetData>
    <row r="1" spans="1:5" ht="15.75" customHeight="1" x14ac:dyDescent="0.25">
      <c r="A1" s="1"/>
    </row>
    <row r="3" spans="1:5" x14ac:dyDescent="0.25">
      <c r="A3" t="s">
        <v>0</v>
      </c>
      <c r="B3" t="s">
        <v>1</v>
      </c>
      <c r="C3" t="s">
        <v>2</v>
      </c>
      <c r="D3" t="s">
        <v>3</v>
      </c>
      <c r="E3" s="2"/>
    </row>
    <row r="4" spans="1:5" x14ac:dyDescent="0.25">
      <c r="A4" s="3" t="s">
        <v>4</v>
      </c>
      <c r="B4" s="3">
        <f>COUNTIF(Labels_150!$C$2:$C$151,A4)</f>
        <v>23</v>
      </c>
      <c r="C4" s="3">
        <f>COUNTIF(Labels_150!$D$2:$D$151,A4)</f>
        <v>29</v>
      </c>
      <c r="D4" s="3">
        <f>COUNTIFS(Labels_150!$C$2:$C$151,A4,Labels_150!$D$2:$D$151,A4)</f>
        <v>22</v>
      </c>
      <c r="E4" s="4"/>
    </row>
    <row r="5" spans="1:5" x14ac:dyDescent="0.25">
      <c r="A5" s="3" t="s">
        <v>5</v>
      </c>
      <c r="B5" s="3">
        <f>COUNTIF(Labels_150!$C$2:$C$151,A5)</f>
        <v>18</v>
      </c>
      <c r="C5" s="3">
        <f>COUNTIF(Labels_150!$D$2:$D$151,A5)</f>
        <v>16</v>
      </c>
      <c r="D5" s="3">
        <f>COUNTIFS(Labels_150!$C$2:$C$151,A5,Labels_150!$D$2:$D$151,A5)</f>
        <v>16</v>
      </c>
      <c r="E5" s="4"/>
    </row>
    <row r="6" spans="1:5" x14ac:dyDescent="0.25">
      <c r="A6" s="3" t="s">
        <v>6</v>
      </c>
      <c r="B6" s="3">
        <f>COUNTIF(Labels_150!$C$2:$C$151,A6)</f>
        <v>21</v>
      </c>
      <c r="C6" s="3">
        <f>COUNTIF(Labels_150!$D$2:$D$151,A6)</f>
        <v>19</v>
      </c>
      <c r="D6" s="3">
        <f>COUNTIFS(Labels_150!$C$2:$C$151,A6,Labels_150!$D$2:$D$151,A6)</f>
        <v>18</v>
      </c>
      <c r="E6" s="4"/>
    </row>
    <row r="7" spans="1:5" x14ac:dyDescent="0.25">
      <c r="A7" s="3" t="s">
        <v>7</v>
      </c>
      <c r="B7" s="3">
        <f>COUNTIF(Labels_150!$C$2:$C$151,A7)</f>
        <v>20</v>
      </c>
      <c r="C7" s="3">
        <f>COUNTIF(Labels_150!$D$2:$D$151,A7)</f>
        <v>20</v>
      </c>
      <c r="D7" s="3">
        <f>COUNTIFS(Labels_150!$C$2:$C$151,A7,Labels_150!$D$2:$D$151,A7)</f>
        <v>19</v>
      </c>
      <c r="E7" s="4"/>
    </row>
    <row r="8" spans="1:5" x14ac:dyDescent="0.25">
      <c r="A8" s="3" t="s">
        <v>8</v>
      </c>
      <c r="B8" s="3">
        <f>COUNTIF(Labels_150!$C$2:$C$151,A8)</f>
        <v>27</v>
      </c>
      <c r="C8" s="3">
        <f>COUNTIF(Labels_150!$D$2:$D$151,A8)</f>
        <v>29</v>
      </c>
      <c r="D8" s="3">
        <f>COUNTIFS(Labels_150!$C$2:$C$151,A8,Labels_150!$D$2:$D$151,A8)</f>
        <v>25</v>
      </c>
      <c r="E8" s="4"/>
    </row>
    <row r="9" spans="1:5" x14ac:dyDescent="0.25">
      <c r="A9" s="3" t="s">
        <v>9</v>
      </c>
      <c r="B9" s="3">
        <f>COUNTIF(Labels_150!$C$2:$C$151,A9)</f>
        <v>21</v>
      </c>
      <c r="C9" s="3">
        <f>COUNTIF(Labels_150!$D$2:$D$151,A9)</f>
        <v>21</v>
      </c>
      <c r="D9" s="3">
        <f>COUNTIFS(Labels_150!$C$2:$C$151,A9,Labels_150!$D$2:$D$151,A9)</f>
        <v>20</v>
      </c>
      <c r="E9" s="4"/>
    </row>
    <row r="10" spans="1:5" x14ac:dyDescent="0.25">
      <c r="A10" s="3" t="s">
        <v>10</v>
      </c>
      <c r="B10" s="3">
        <f>COUNTIF(Labels_150!$C$2:$C$151,A10)</f>
        <v>20</v>
      </c>
      <c r="C10" s="3">
        <f>COUNTIF(Labels_150!$D$2:$D$151,A10)</f>
        <v>14</v>
      </c>
      <c r="D10" s="3">
        <f>COUNTIFS(Labels_150!$C$2:$C$151,A10,Labels_150!$D$2:$D$151,A10)</f>
        <v>13</v>
      </c>
      <c r="E10" s="4"/>
    </row>
    <row r="11" spans="1:5" x14ac:dyDescent="0.25">
      <c r="A11" s="3" t="s">
        <v>11</v>
      </c>
      <c r="B11" s="3">
        <f>COUNTIF(Labels_150!$C$2:$C$151,A11)</f>
        <v>0</v>
      </c>
      <c r="C11" s="3">
        <f>COUNTIF(Labels_150!$D$2:$D$151,A11)</f>
        <v>2</v>
      </c>
      <c r="D11" s="3">
        <f>COUNTIFS(Labels_150!$C$2:$C$151,A11,Labels_150!$D$2:$D$151,A11)</f>
        <v>0</v>
      </c>
      <c r="E11" s="4"/>
    </row>
    <row r="15" spans="1:5" x14ac:dyDescent="0.25">
      <c r="A15" s="3" t="s">
        <v>12</v>
      </c>
      <c r="B15" s="3">
        <f>COUNTA(Labels_150!$A$2:$A$151)</f>
        <v>150</v>
      </c>
    </row>
    <row r="16" spans="1:5" x14ac:dyDescent="0.25">
      <c r="A16" s="3" t="s">
        <v>13</v>
      </c>
      <c r="B16" s="3">
        <f>SUMPRODUCT((Labels_150!$C$2:$C$151=Labels_150!$D$2:$D$151)*1)</f>
        <v>133</v>
      </c>
    </row>
    <row r="17" spans="1:2" x14ac:dyDescent="0.25">
      <c r="A17" s="3" t="s">
        <v>14</v>
      </c>
      <c r="B17" s="3">
        <f>B15-B16</f>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tabSelected="1" zoomScaleNormal="100" workbookViewId="0">
      <pane ySplit="1" topLeftCell="A99" activePane="bottomLeft" state="frozen"/>
      <selection pane="bottomLeft" activeCell="F106" sqref="F106"/>
    </sheetView>
  </sheetViews>
  <sheetFormatPr defaultColWidth="8.7109375" defaultRowHeight="15" x14ac:dyDescent="0.25"/>
  <cols>
    <col min="1" max="1" width="14.140625" customWidth="1"/>
    <col min="2" max="2" width="110" customWidth="1"/>
    <col min="3" max="4" width="24" customWidth="1"/>
    <col min="5" max="5" width="11" customWidth="1"/>
    <col min="6" max="6" width="24" customWidth="1"/>
  </cols>
  <sheetData>
    <row r="1" spans="1:6" x14ac:dyDescent="0.25">
      <c r="A1" t="s">
        <v>15</v>
      </c>
      <c r="B1" t="s">
        <v>16</v>
      </c>
      <c r="C1" t="s">
        <v>17</v>
      </c>
      <c r="D1" t="s">
        <v>18</v>
      </c>
      <c r="E1" t="s">
        <v>19</v>
      </c>
      <c r="F1" t="s">
        <v>20</v>
      </c>
    </row>
    <row r="2" spans="1:6" ht="64.5" customHeight="1" x14ac:dyDescent="0.25">
      <c r="A2" s="5">
        <v>3021</v>
      </c>
      <c r="B2" s="5" t="s">
        <v>21</v>
      </c>
      <c r="C2" s="5" t="s">
        <v>8</v>
      </c>
      <c r="D2" s="5" t="s">
        <v>8</v>
      </c>
      <c r="E2" s="3" t="str">
        <f t="shared" ref="E2:E33" si="0">IF(C2=D2,"Agree","Disagree")</f>
        <v>Agree</v>
      </c>
      <c r="F2" s="3" t="s">
        <v>8</v>
      </c>
    </row>
    <row r="3" spans="1:6" ht="64.5" customHeight="1" x14ac:dyDescent="0.25">
      <c r="A3" s="5">
        <v>3024</v>
      </c>
      <c r="B3" s="5" t="s">
        <v>22</v>
      </c>
      <c r="C3" s="5" t="s">
        <v>6</v>
      </c>
      <c r="D3" s="5" t="s">
        <v>6</v>
      </c>
      <c r="E3" s="3" t="str">
        <f t="shared" si="0"/>
        <v>Agree</v>
      </c>
      <c r="F3" s="3" t="s">
        <v>6</v>
      </c>
    </row>
    <row r="4" spans="1:6" ht="64.5" customHeight="1" x14ac:dyDescent="0.25">
      <c r="A4" s="5">
        <v>3032</v>
      </c>
      <c r="B4" s="5" t="s">
        <v>23</v>
      </c>
      <c r="C4" s="5" t="s">
        <v>8</v>
      </c>
      <c r="D4" s="5" t="s">
        <v>8</v>
      </c>
      <c r="E4" s="3" t="str">
        <f t="shared" si="0"/>
        <v>Agree</v>
      </c>
      <c r="F4" s="3" t="s">
        <v>8</v>
      </c>
    </row>
    <row r="5" spans="1:6" ht="51.75" customHeight="1" x14ac:dyDescent="0.25">
      <c r="A5" s="5">
        <v>3037</v>
      </c>
      <c r="B5" s="5" t="s">
        <v>24</v>
      </c>
      <c r="C5" s="5" t="s">
        <v>7</v>
      </c>
      <c r="D5" s="5" t="s">
        <v>7</v>
      </c>
      <c r="E5" s="3" t="str">
        <f t="shared" si="0"/>
        <v>Agree</v>
      </c>
      <c r="F5" s="3" t="s">
        <v>7</v>
      </c>
    </row>
    <row r="6" spans="1:6" ht="64.5" customHeight="1" x14ac:dyDescent="0.25">
      <c r="A6" s="5">
        <v>3039</v>
      </c>
      <c r="B6" s="5" t="s">
        <v>25</v>
      </c>
      <c r="C6" s="5" t="s">
        <v>9</v>
      </c>
      <c r="D6" s="5" t="s">
        <v>9</v>
      </c>
      <c r="E6" s="3" t="str">
        <f t="shared" si="0"/>
        <v>Agree</v>
      </c>
      <c r="F6" s="3" t="s">
        <v>9</v>
      </c>
    </row>
    <row r="7" spans="1:6" ht="39" customHeight="1" x14ac:dyDescent="0.25">
      <c r="A7" s="5">
        <v>3049</v>
      </c>
      <c r="B7" s="5" t="s">
        <v>26</v>
      </c>
      <c r="C7" s="5" t="s">
        <v>10</v>
      </c>
      <c r="D7" s="5" t="s">
        <v>4</v>
      </c>
      <c r="E7" s="3" t="str">
        <f t="shared" si="0"/>
        <v>Disagree</v>
      </c>
      <c r="F7" s="5" t="s">
        <v>10</v>
      </c>
    </row>
    <row r="8" spans="1:6" ht="64.5" customHeight="1" x14ac:dyDescent="0.25">
      <c r="A8" s="5">
        <v>3069</v>
      </c>
      <c r="B8" s="5" t="s">
        <v>27</v>
      </c>
      <c r="C8" s="5" t="s">
        <v>5</v>
      </c>
      <c r="D8" s="5" t="s">
        <v>5</v>
      </c>
      <c r="E8" s="3" t="str">
        <f t="shared" si="0"/>
        <v>Agree</v>
      </c>
      <c r="F8" s="3" t="s">
        <v>5</v>
      </c>
    </row>
    <row r="9" spans="1:6" ht="64.5" customHeight="1" x14ac:dyDescent="0.25">
      <c r="A9" s="5">
        <v>3134</v>
      </c>
      <c r="B9" s="5" t="s">
        <v>28</v>
      </c>
      <c r="C9" s="5" t="s">
        <v>4</v>
      </c>
      <c r="D9" s="5" t="s">
        <v>4</v>
      </c>
      <c r="E9" s="3" t="str">
        <f t="shared" si="0"/>
        <v>Agree</v>
      </c>
      <c r="F9" s="3" t="s">
        <v>4</v>
      </c>
    </row>
    <row r="10" spans="1:6" ht="64.5" customHeight="1" x14ac:dyDescent="0.25">
      <c r="A10" s="5">
        <v>3145</v>
      </c>
      <c r="B10" s="5" t="s">
        <v>29</v>
      </c>
      <c r="C10" s="5" t="s">
        <v>4</v>
      </c>
      <c r="D10" s="5" t="s">
        <v>4</v>
      </c>
      <c r="E10" s="3" t="str">
        <f t="shared" si="0"/>
        <v>Agree</v>
      </c>
      <c r="F10" s="3" t="s">
        <v>4</v>
      </c>
    </row>
    <row r="11" spans="1:6" ht="64.5" customHeight="1" x14ac:dyDescent="0.25">
      <c r="A11" s="5">
        <v>3147</v>
      </c>
      <c r="B11" s="5" t="s">
        <v>30</v>
      </c>
      <c r="C11" s="5" t="s">
        <v>5</v>
      </c>
      <c r="D11" s="5" t="s">
        <v>5</v>
      </c>
      <c r="E11" s="3" t="str">
        <f t="shared" si="0"/>
        <v>Agree</v>
      </c>
      <c r="F11" s="3" t="s">
        <v>5</v>
      </c>
    </row>
    <row r="12" spans="1:6" ht="39" customHeight="1" x14ac:dyDescent="0.25">
      <c r="A12" s="5">
        <v>3150</v>
      </c>
      <c r="B12" s="5" t="s">
        <v>31</v>
      </c>
      <c r="C12" s="5" t="s">
        <v>8</v>
      </c>
      <c r="D12" s="5" t="s">
        <v>8</v>
      </c>
      <c r="E12" s="3" t="str">
        <f t="shared" si="0"/>
        <v>Agree</v>
      </c>
      <c r="F12" s="3" t="s">
        <v>8</v>
      </c>
    </row>
    <row r="13" spans="1:6" ht="64.5" customHeight="1" x14ac:dyDescent="0.25">
      <c r="A13" s="5">
        <v>3155</v>
      </c>
      <c r="B13" s="5" t="s">
        <v>32</v>
      </c>
      <c r="C13" s="5" t="s">
        <v>8</v>
      </c>
      <c r="D13" s="5" t="s">
        <v>8</v>
      </c>
      <c r="E13" s="3" t="str">
        <f t="shared" si="0"/>
        <v>Agree</v>
      </c>
      <c r="F13" s="3" t="s">
        <v>8</v>
      </c>
    </row>
    <row r="14" spans="1:6" ht="64.5" customHeight="1" x14ac:dyDescent="0.25">
      <c r="A14" s="5">
        <v>3156</v>
      </c>
      <c r="B14" s="5" t="s">
        <v>33</v>
      </c>
      <c r="C14" s="5" t="s">
        <v>4</v>
      </c>
      <c r="D14" s="5" t="s">
        <v>4</v>
      </c>
      <c r="E14" s="3" t="str">
        <f t="shared" si="0"/>
        <v>Agree</v>
      </c>
      <c r="F14" s="3" t="s">
        <v>4</v>
      </c>
    </row>
    <row r="15" spans="1:6" ht="39" customHeight="1" x14ac:dyDescent="0.25">
      <c r="A15" s="5">
        <v>3157</v>
      </c>
      <c r="B15" s="5" t="s">
        <v>34</v>
      </c>
      <c r="C15" s="5" t="s">
        <v>10</v>
      </c>
      <c r="D15" s="5" t="s">
        <v>10</v>
      </c>
      <c r="E15" s="3" t="str">
        <f t="shared" si="0"/>
        <v>Agree</v>
      </c>
      <c r="F15" s="3" t="s">
        <v>10</v>
      </c>
    </row>
    <row r="16" spans="1:6" ht="51.75" customHeight="1" x14ac:dyDescent="0.25">
      <c r="A16" s="5">
        <v>3159</v>
      </c>
      <c r="B16" s="5" t="s">
        <v>35</v>
      </c>
      <c r="C16" s="5" t="s">
        <v>4</v>
      </c>
      <c r="D16" s="5" t="s">
        <v>4</v>
      </c>
      <c r="E16" s="3" t="str">
        <f t="shared" si="0"/>
        <v>Agree</v>
      </c>
      <c r="F16" s="3" t="s">
        <v>4</v>
      </c>
    </row>
    <row r="17" spans="1:6" ht="39" customHeight="1" x14ac:dyDescent="0.25">
      <c r="A17" s="5">
        <v>3167</v>
      </c>
      <c r="B17" s="5" t="s">
        <v>36</v>
      </c>
      <c r="C17" s="5" t="s">
        <v>7</v>
      </c>
      <c r="D17" s="5" t="s">
        <v>7</v>
      </c>
      <c r="E17" s="3" t="str">
        <f t="shared" si="0"/>
        <v>Agree</v>
      </c>
      <c r="F17" s="3" t="s">
        <v>7</v>
      </c>
    </row>
    <row r="18" spans="1:6" ht="64.5" customHeight="1" x14ac:dyDescent="0.25">
      <c r="A18" s="5">
        <v>3171</v>
      </c>
      <c r="B18" s="5" t="s">
        <v>37</v>
      </c>
      <c r="C18" s="5" t="s">
        <v>10</v>
      </c>
      <c r="D18" s="5" t="s">
        <v>10</v>
      </c>
      <c r="E18" s="3" t="str">
        <f t="shared" si="0"/>
        <v>Agree</v>
      </c>
      <c r="F18" s="3" t="s">
        <v>10</v>
      </c>
    </row>
    <row r="19" spans="1:6" ht="25.5" customHeight="1" x14ac:dyDescent="0.25">
      <c r="A19" s="5">
        <v>3172</v>
      </c>
      <c r="B19" s="5" t="s">
        <v>38</v>
      </c>
      <c r="C19" s="5" t="s">
        <v>4</v>
      </c>
      <c r="D19" s="5" t="s">
        <v>4</v>
      </c>
      <c r="E19" s="3" t="str">
        <f t="shared" si="0"/>
        <v>Agree</v>
      </c>
      <c r="F19" s="3" t="s">
        <v>4</v>
      </c>
    </row>
    <row r="20" spans="1:6" ht="64.5" customHeight="1" x14ac:dyDescent="0.25">
      <c r="A20" s="5">
        <v>3173</v>
      </c>
      <c r="B20" s="5" t="s">
        <v>39</v>
      </c>
      <c r="C20" s="5" t="s">
        <v>8</v>
      </c>
      <c r="D20" s="5" t="s">
        <v>8</v>
      </c>
      <c r="E20" s="3" t="str">
        <f t="shared" si="0"/>
        <v>Agree</v>
      </c>
      <c r="F20" s="3" t="s">
        <v>8</v>
      </c>
    </row>
    <row r="21" spans="1:6" ht="39" customHeight="1" x14ac:dyDescent="0.25">
      <c r="A21" s="5">
        <v>3183</v>
      </c>
      <c r="B21" s="5" t="s">
        <v>40</v>
      </c>
      <c r="C21" s="5" t="s">
        <v>6</v>
      </c>
      <c r="D21" s="5" t="s">
        <v>6</v>
      </c>
      <c r="E21" s="3" t="str">
        <f t="shared" si="0"/>
        <v>Agree</v>
      </c>
      <c r="F21" s="3" t="s">
        <v>6</v>
      </c>
    </row>
    <row r="22" spans="1:6" ht="51.75" customHeight="1" x14ac:dyDescent="0.25">
      <c r="A22" s="5">
        <v>3188</v>
      </c>
      <c r="B22" s="5" t="s">
        <v>41</v>
      </c>
      <c r="C22" s="5" t="s">
        <v>5</v>
      </c>
      <c r="D22" s="5" t="s">
        <v>5</v>
      </c>
      <c r="E22" s="3" t="str">
        <f t="shared" si="0"/>
        <v>Agree</v>
      </c>
      <c r="F22" s="3" t="s">
        <v>5</v>
      </c>
    </row>
    <row r="23" spans="1:6" ht="64.5" customHeight="1" x14ac:dyDescent="0.25">
      <c r="A23" s="5">
        <v>3189</v>
      </c>
      <c r="B23" s="5" t="s">
        <v>42</v>
      </c>
      <c r="C23" s="5" t="s">
        <v>7</v>
      </c>
      <c r="D23" s="5" t="s">
        <v>7</v>
      </c>
      <c r="E23" s="3" t="str">
        <f t="shared" si="0"/>
        <v>Agree</v>
      </c>
      <c r="F23" s="3" t="s">
        <v>7</v>
      </c>
    </row>
    <row r="24" spans="1:6" ht="64.5" customHeight="1" x14ac:dyDescent="0.25">
      <c r="A24" s="5">
        <v>3207</v>
      </c>
      <c r="B24" s="5" t="s">
        <v>43</v>
      </c>
      <c r="C24" s="5" t="s">
        <v>7</v>
      </c>
      <c r="D24" s="5" t="s">
        <v>7</v>
      </c>
      <c r="E24" s="3" t="str">
        <f t="shared" si="0"/>
        <v>Agree</v>
      </c>
      <c r="F24" s="3" t="s">
        <v>7</v>
      </c>
    </row>
    <row r="25" spans="1:6" ht="64.5" customHeight="1" x14ac:dyDescent="0.25">
      <c r="A25" s="5">
        <v>3210</v>
      </c>
      <c r="B25" s="5" t="s">
        <v>44</v>
      </c>
      <c r="C25" s="5" t="s">
        <v>8</v>
      </c>
      <c r="D25" s="5" t="s">
        <v>8</v>
      </c>
      <c r="E25" s="3" t="str">
        <f t="shared" si="0"/>
        <v>Agree</v>
      </c>
      <c r="F25" s="3" t="s">
        <v>8</v>
      </c>
    </row>
    <row r="26" spans="1:6" ht="64.5" customHeight="1" x14ac:dyDescent="0.25">
      <c r="A26" s="5">
        <v>3211</v>
      </c>
      <c r="B26" s="5" t="s">
        <v>45</v>
      </c>
      <c r="C26" s="5" t="s">
        <v>10</v>
      </c>
      <c r="D26" s="5" t="s">
        <v>4</v>
      </c>
      <c r="E26" s="3" t="str">
        <f t="shared" si="0"/>
        <v>Disagree</v>
      </c>
      <c r="F26" s="5" t="s">
        <v>10</v>
      </c>
    </row>
    <row r="27" spans="1:6" ht="64.5" customHeight="1" x14ac:dyDescent="0.25">
      <c r="A27" s="5">
        <v>3213</v>
      </c>
      <c r="B27" s="5" t="s">
        <v>46</v>
      </c>
      <c r="C27" s="5" t="s">
        <v>7</v>
      </c>
      <c r="D27" s="5" t="s">
        <v>7</v>
      </c>
      <c r="E27" s="3" t="str">
        <f t="shared" si="0"/>
        <v>Agree</v>
      </c>
      <c r="F27" s="3" t="s">
        <v>7</v>
      </c>
    </row>
    <row r="28" spans="1:6" ht="64.5" customHeight="1" x14ac:dyDescent="0.25">
      <c r="A28" s="5">
        <v>3214</v>
      </c>
      <c r="B28" s="5" t="s">
        <v>47</v>
      </c>
      <c r="C28" s="5" t="s">
        <v>4</v>
      </c>
      <c r="D28" s="5" t="s">
        <v>4</v>
      </c>
      <c r="E28" s="3" t="str">
        <f t="shared" si="0"/>
        <v>Agree</v>
      </c>
      <c r="F28" s="3" t="s">
        <v>4</v>
      </c>
    </row>
    <row r="29" spans="1:6" ht="51.75" customHeight="1" x14ac:dyDescent="0.25">
      <c r="A29" s="5">
        <v>3222</v>
      </c>
      <c r="B29" s="5" t="s">
        <v>48</v>
      </c>
      <c r="C29" s="5" t="s">
        <v>5</v>
      </c>
      <c r="D29" s="5" t="s">
        <v>8</v>
      </c>
      <c r="E29" s="3" t="str">
        <f t="shared" si="0"/>
        <v>Disagree</v>
      </c>
      <c r="F29" s="5" t="s">
        <v>8</v>
      </c>
    </row>
    <row r="30" spans="1:6" ht="64.5" customHeight="1" x14ac:dyDescent="0.25">
      <c r="A30" s="5">
        <v>3224</v>
      </c>
      <c r="B30" s="5" t="s">
        <v>49</v>
      </c>
      <c r="C30" s="5" t="s">
        <v>8</v>
      </c>
      <c r="D30" s="5" t="s">
        <v>8</v>
      </c>
      <c r="E30" s="3" t="str">
        <f t="shared" si="0"/>
        <v>Agree</v>
      </c>
      <c r="F30" s="3" t="s">
        <v>8</v>
      </c>
    </row>
    <row r="31" spans="1:6" ht="64.5" customHeight="1" x14ac:dyDescent="0.25">
      <c r="A31" s="5">
        <v>3225</v>
      </c>
      <c r="B31" s="5" t="s">
        <v>50</v>
      </c>
      <c r="C31" s="5" t="s">
        <v>7</v>
      </c>
      <c r="D31" s="5" t="s">
        <v>7</v>
      </c>
      <c r="E31" s="3" t="str">
        <f t="shared" si="0"/>
        <v>Agree</v>
      </c>
      <c r="F31" s="3" t="s">
        <v>7</v>
      </c>
    </row>
    <row r="32" spans="1:6" ht="64.5" customHeight="1" x14ac:dyDescent="0.25">
      <c r="A32" s="5">
        <v>3229</v>
      </c>
      <c r="B32" s="5" t="s">
        <v>51</v>
      </c>
      <c r="C32" s="5" t="s">
        <v>10</v>
      </c>
      <c r="D32" s="5" t="s">
        <v>4</v>
      </c>
      <c r="E32" s="3" t="str">
        <f t="shared" si="0"/>
        <v>Disagree</v>
      </c>
      <c r="F32" s="5" t="s">
        <v>10</v>
      </c>
    </row>
    <row r="33" spans="1:6" ht="64.5" customHeight="1" x14ac:dyDescent="0.25">
      <c r="A33" s="5">
        <v>3232</v>
      </c>
      <c r="B33" s="5" t="s">
        <v>52</v>
      </c>
      <c r="C33" s="5" t="s">
        <v>8</v>
      </c>
      <c r="D33" s="5" t="s">
        <v>8</v>
      </c>
      <c r="E33" s="3" t="str">
        <f t="shared" si="0"/>
        <v>Agree</v>
      </c>
      <c r="F33" s="3" t="s">
        <v>8</v>
      </c>
    </row>
    <row r="34" spans="1:6" ht="64.5" customHeight="1" x14ac:dyDescent="0.25">
      <c r="A34" s="5">
        <v>3234</v>
      </c>
      <c r="B34" s="5" t="s">
        <v>53</v>
      </c>
      <c r="C34" s="5" t="s">
        <v>10</v>
      </c>
      <c r="D34" s="5" t="s">
        <v>10</v>
      </c>
      <c r="E34" s="3" t="str">
        <f t="shared" ref="E34:E65" si="1">IF(C34=D34,"Agree","Disagree")</f>
        <v>Agree</v>
      </c>
      <c r="F34" s="3" t="s">
        <v>10</v>
      </c>
    </row>
    <row r="35" spans="1:6" ht="25.5" customHeight="1" x14ac:dyDescent="0.25">
      <c r="A35" s="5">
        <v>3248</v>
      </c>
      <c r="B35" s="5" t="s">
        <v>54</v>
      </c>
      <c r="C35" s="5" t="s">
        <v>5</v>
      </c>
      <c r="D35" s="5" t="s">
        <v>5</v>
      </c>
      <c r="E35" s="3" t="str">
        <f t="shared" si="1"/>
        <v>Agree</v>
      </c>
      <c r="F35" s="3" t="s">
        <v>5</v>
      </c>
    </row>
    <row r="36" spans="1:6" ht="64.5" customHeight="1" x14ac:dyDescent="0.25">
      <c r="A36" s="5">
        <v>3251</v>
      </c>
      <c r="B36" s="5" t="s">
        <v>55</v>
      </c>
      <c r="C36" s="5" t="s">
        <v>6</v>
      </c>
      <c r="D36" s="5" t="s">
        <v>6</v>
      </c>
      <c r="E36" s="3" t="str">
        <f t="shared" si="1"/>
        <v>Agree</v>
      </c>
      <c r="F36" s="3" t="s">
        <v>6</v>
      </c>
    </row>
    <row r="37" spans="1:6" ht="25.5" customHeight="1" x14ac:dyDescent="0.25">
      <c r="A37" s="5">
        <v>3260</v>
      </c>
      <c r="B37" s="5" t="s">
        <v>56</v>
      </c>
      <c r="C37" s="5" t="s">
        <v>4</v>
      </c>
      <c r="D37" s="5" t="s">
        <v>10</v>
      </c>
      <c r="E37" s="3" t="str">
        <f t="shared" si="1"/>
        <v>Disagree</v>
      </c>
      <c r="F37" s="5" t="s">
        <v>10</v>
      </c>
    </row>
    <row r="38" spans="1:6" ht="64.5" customHeight="1" x14ac:dyDescent="0.25">
      <c r="A38" s="5">
        <v>3262</v>
      </c>
      <c r="B38" s="5" t="s">
        <v>57</v>
      </c>
      <c r="C38" s="5" t="s">
        <v>5</v>
      </c>
      <c r="D38" s="5" t="s">
        <v>5</v>
      </c>
      <c r="E38" s="3" t="str">
        <f t="shared" si="1"/>
        <v>Agree</v>
      </c>
      <c r="F38" s="3" t="s">
        <v>5</v>
      </c>
    </row>
    <row r="39" spans="1:6" ht="64.5" customHeight="1" x14ac:dyDescent="0.25">
      <c r="A39" s="5">
        <v>3263</v>
      </c>
      <c r="B39" s="5" t="s">
        <v>58</v>
      </c>
      <c r="C39" s="5" t="s">
        <v>10</v>
      </c>
      <c r="D39" s="5" t="s">
        <v>10</v>
      </c>
      <c r="E39" s="3" t="str">
        <f t="shared" si="1"/>
        <v>Agree</v>
      </c>
      <c r="F39" s="3" t="s">
        <v>10</v>
      </c>
    </row>
    <row r="40" spans="1:6" ht="64.5" customHeight="1" x14ac:dyDescent="0.25">
      <c r="A40" s="5">
        <v>3264</v>
      </c>
      <c r="B40" s="5" t="s">
        <v>59</v>
      </c>
      <c r="C40" s="5" t="s">
        <v>7</v>
      </c>
      <c r="D40" s="5" t="s">
        <v>7</v>
      </c>
      <c r="E40" s="3" t="str">
        <f t="shared" si="1"/>
        <v>Agree</v>
      </c>
      <c r="F40" s="3" t="s">
        <v>7</v>
      </c>
    </row>
    <row r="41" spans="1:6" ht="64.5" customHeight="1" x14ac:dyDescent="0.25">
      <c r="A41" s="5">
        <v>3273</v>
      </c>
      <c r="B41" s="5" t="s">
        <v>60</v>
      </c>
      <c r="C41" s="5" t="s">
        <v>9</v>
      </c>
      <c r="D41" s="5" t="s">
        <v>9</v>
      </c>
      <c r="E41" s="3" t="str">
        <f t="shared" si="1"/>
        <v>Agree</v>
      </c>
      <c r="F41" s="3" t="s">
        <v>9</v>
      </c>
    </row>
    <row r="42" spans="1:6" ht="64.5" customHeight="1" x14ac:dyDescent="0.25">
      <c r="A42" s="5">
        <v>3278</v>
      </c>
      <c r="B42" s="5" t="s">
        <v>61</v>
      </c>
      <c r="C42" s="5" t="s">
        <v>10</v>
      </c>
      <c r="D42" s="5" t="s">
        <v>10</v>
      </c>
      <c r="E42" s="3" t="str">
        <f t="shared" si="1"/>
        <v>Agree</v>
      </c>
      <c r="F42" s="3" t="s">
        <v>10</v>
      </c>
    </row>
    <row r="43" spans="1:6" ht="25.5" customHeight="1" x14ac:dyDescent="0.25">
      <c r="A43" s="5">
        <v>3279</v>
      </c>
      <c r="B43" s="5" t="s">
        <v>62</v>
      </c>
      <c r="C43" s="5" t="s">
        <v>8</v>
      </c>
      <c r="D43" s="5" t="s">
        <v>8</v>
      </c>
      <c r="E43" s="3" t="str">
        <f t="shared" si="1"/>
        <v>Agree</v>
      </c>
      <c r="F43" s="3" t="s">
        <v>8</v>
      </c>
    </row>
    <row r="44" spans="1:6" ht="39" customHeight="1" x14ac:dyDescent="0.25">
      <c r="A44" s="5">
        <v>3288</v>
      </c>
      <c r="B44" s="5" t="s">
        <v>63</v>
      </c>
      <c r="C44" s="5" t="s">
        <v>8</v>
      </c>
      <c r="D44" s="5" t="s">
        <v>8</v>
      </c>
      <c r="E44" s="3" t="str">
        <f t="shared" si="1"/>
        <v>Agree</v>
      </c>
      <c r="F44" s="3" t="s">
        <v>8</v>
      </c>
    </row>
    <row r="45" spans="1:6" ht="64.5" customHeight="1" x14ac:dyDescent="0.25">
      <c r="A45" s="5">
        <v>3289</v>
      </c>
      <c r="B45" s="5" t="s">
        <v>64</v>
      </c>
      <c r="C45" s="5" t="s">
        <v>9</v>
      </c>
      <c r="D45" s="5" t="s">
        <v>9</v>
      </c>
      <c r="E45" s="3" t="str">
        <f t="shared" si="1"/>
        <v>Agree</v>
      </c>
      <c r="F45" s="3" t="s">
        <v>9</v>
      </c>
    </row>
    <row r="46" spans="1:6" ht="64.5" customHeight="1" x14ac:dyDescent="0.25">
      <c r="A46" s="5">
        <v>3291</v>
      </c>
      <c r="B46" s="5" t="s">
        <v>65</v>
      </c>
      <c r="C46" s="5" t="s">
        <v>9</v>
      </c>
      <c r="D46" s="5" t="s">
        <v>9</v>
      </c>
      <c r="E46" s="3" t="str">
        <f t="shared" si="1"/>
        <v>Agree</v>
      </c>
      <c r="F46" s="3" t="s">
        <v>9</v>
      </c>
    </row>
    <row r="47" spans="1:6" ht="64.5" customHeight="1" x14ac:dyDescent="0.25">
      <c r="A47" s="5">
        <v>3294</v>
      </c>
      <c r="B47" s="5" t="s">
        <v>66</v>
      </c>
      <c r="C47" s="5" t="s">
        <v>10</v>
      </c>
      <c r="D47" s="5" t="s">
        <v>4</v>
      </c>
      <c r="E47" s="3" t="str">
        <f t="shared" si="1"/>
        <v>Disagree</v>
      </c>
      <c r="F47" s="5" t="s">
        <v>10</v>
      </c>
    </row>
    <row r="48" spans="1:6" ht="51.75" customHeight="1" x14ac:dyDescent="0.25">
      <c r="A48" s="5">
        <v>3298</v>
      </c>
      <c r="B48" s="5" t="s">
        <v>67</v>
      </c>
      <c r="C48" s="5" t="s">
        <v>4</v>
      </c>
      <c r="D48" s="5" t="s">
        <v>4</v>
      </c>
      <c r="E48" s="3" t="str">
        <f t="shared" si="1"/>
        <v>Agree</v>
      </c>
      <c r="F48" s="3" t="s">
        <v>4</v>
      </c>
    </row>
    <row r="49" spans="1:6" ht="64.5" customHeight="1" x14ac:dyDescent="0.25">
      <c r="A49" s="5">
        <v>3302</v>
      </c>
      <c r="B49" s="5" t="s">
        <v>68</v>
      </c>
      <c r="C49" s="5" t="s">
        <v>7</v>
      </c>
      <c r="D49" s="5" t="s">
        <v>7</v>
      </c>
      <c r="E49" s="3" t="str">
        <f t="shared" si="1"/>
        <v>Agree</v>
      </c>
      <c r="F49" s="3" t="s">
        <v>7</v>
      </c>
    </row>
    <row r="50" spans="1:6" ht="64.5" customHeight="1" x14ac:dyDescent="0.25">
      <c r="A50" s="5">
        <v>3304</v>
      </c>
      <c r="B50" s="5" t="s">
        <v>69</v>
      </c>
      <c r="C50" s="5" t="s">
        <v>9</v>
      </c>
      <c r="D50" s="5" t="s">
        <v>9</v>
      </c>
      <c r="E50" s="3" t="str">
        <f t="shared" si="1"/>
        <v>Agree</v>
      </c>
      <c r="F50" s="3" t="s">
        <v>9</v>
      </c>
    </row>
    <row r="51" spans="1:6" ht="51.75" customHeight="1" x14ac:dyDescent="0.25">
      <c r="A51" s="5">
        <v>3310</v>
      </c>
      <c r="B51" s="5" t="s">
        <v>70</v>
      </c>
      <c r="C51" s="5" t="s">
        <v>5</v>
      </c>
      <c r="D51" s="5" t="s">
        <v>5</v>
      </c>
      <c r="E51" s="3" t="str">
        <f t="shared" si="1"/>
        <v>Agree</v>
      </c>
      <c r="F51" s="3" t="s">
        <v>5</v>
      </c>
    </row>
    <row r="52" spans="1:6" ht="64.5" customHeight="1" x14ac:dyDescent="0.25">
      <c r="A52" s="5">
        <v>3319</v>
      </c>
      <c r="B52" s="5" t="s">
        <v>71</v>
      </c>
      <c r="C52" s="5" t="s">
        <v>5</v>
      </c>
      <c r="D52" s="5" t="s">
        <v>5</v>
      </c>
      <c r="E52" s="3" t="str">
        <f t="shared" si="1"/>
        <v>Agree</v>
      </c>
      <c r="F52" s="3" t="s">
        <v>5</v>
      </c>
    </row>
    <row r="53" spans="1:6" ht="64.5" customHeight="1" x14ac:dyDescent="0.25">
      <c r="A53" s="5">
        <v>3323</v>
      </c>
      <c r="B53" s="5" t="s">
        <v>72</v>
      </c>
      <c r="C53" s="5" t="s">
        <v>4</v>
      </c>
      <c r="D53" s="5" t="s">
        <v>4</v>
      </c>
      <c r="E53" s="3" t="str">
        <f t="shared" si="1"/>
        <v>Agree</v>
      </c>
      <c r="F53" s="3" t="s">
        <v>4</v>
      </c>
    </row>
    <row r="54" spans="1:6" ht="51.75" customHeight="1" x14ac:dyDescent="0.25">
      <c r="A54" s="5">
        <v>3328</v>
      </c>
      <c r="B54" s="5" t="s">
        <v>73</v>
      </c>
      <c r="C54" s="5" t="s">
        <v>8</v>
      </c>
      <c r="D54" s="5" t="s">
        <v>8</v>
      </c>
      <c r="E54" s="3" t="str">
        <f t="shared" si="1"/>
        <v>Agree</v>
      </c>
      <c r="F54" s="3" t="s">
        <v>8</v>
      </c>
    </row>
    <row r="55" spans="1:6" ht="64.5" customHeight="1" x14ac:dyDescent="0.25">
      <c r="A55" s="5">
        <v>3346</v>
      </c>
      <c r="B55" s="5" t="s">
        <v>74</v>
      </c>
      <c r="C55" s="5" t="s">
        <v>5</v>
      </c>
      <c r="D55" s="5" t="s">
        <v>5</v>
      </c>
      <c r="E55" s="3" t="str">
        <f t="shared" si="1"/>
        <v>Agree</v>
      </c>
      <c r="F55" s="3" t="s">
        <v>5</v>
      </c>
    </row>
    <row r="56" spans="1:6" ht="64.5" customHeight="1" x14ac:dyDescent="0.25">
      <c r="A56" s="5">
        <v>3360</v>
      </c>
      <c r="B56" s="5" t="s">
        <v>75</v>
      </c>
      <c r="C56" s="5" t="s">
        <v>10</v>
      </c>
      <c r="D56" s="5" t="s">
        <v>10</v>
      </c>
      <c r="E56" s="3" t="str">
        <f t="shared" si="1"/>
        <v>Agree</v>
      </c>
      <c r="F56" s="3" t="s">
        <v>10</v>
      </c>
    </row>
    <row r="57" spans="1:6" ht="64.5" customHeight="1" x14ac:dyDescent="0.25">
      <c r="A57" s="5">
        <v>3366</v>
      </c>
      <c r="B57" s="5" t="s">
        <v>76</v>
      </c>
      <c r="C57" s="5" t="s">
        <v>6</v>
      </c>
      <c r="D57" s="5" t="s">
        <v>6</v>
      </c>
      <c r="E57" s="3" t="str">
        <f t="shared" si="1"/>
        <v>Agree</v>
      </c>
      <c r="F57" s="3" t="s">
        <v>6</v>
      </c>
    </row>
    <row r="58" spans="1:6" ht="64.5" customHeight="1" x14ac:dyDescent="0.25">
      <c r="A58" s="5">
        <v>3371</v>
      </c>
      <c r="B58" s="5" t="s">
        <v>77</v>
      </c>
      <c r="C58" s="5" t="s">
        <v>6</v>
      </c>
      <c r="D58" s="5" t="s">
        <v>6</v>
      </c>
      <c r="E58" s="3" t="str">
        <f t="shared" si="1"/>
        <v>Agree</v>
      </c>
      <c r="F58" s="3" t="s">
        <v>6</v>
      </c>
    </row>
    <row r="59" spans="1:6" ht="64.5" customHeight="1" x14ac:dyDescent="0.25">
      <c r="A59" s="5">
        <v>3374</v>
      </c>
      <c r="B59" s="5" t="s">
        <v>78</v>
      </c>
      <c r="C59" s="5" t="s">
        <v>7</v>
      </c>
      <c r="D59" s="5" t="s">
        <v>7</v>
      </c>
      <c r="E59" s="3" t="str">
        <f t="shared" si="1"/>
        <v>Agree</v>
      </c>
      <c r="F59" s="3" t="s">
        <v>7</v>
      </c>
    </row>
    <row r="60" spans="1:6" ht="64.5" customHeight="1" x14ac:dyDescent="0.25">
      <c r="A60" s="5">
        <v>3380</v>
      </c>
      <c r="B60" s="5" t="s">
        <v>79</v>
      </c>
      <c r="C60" s="5" t="s">
        <v>9</v>
      </c>
      <c r="D60" s="5" t="s">
        <v>9</v>
      </c>
      <c r="E60" s="3" t="str">
        <f t="shared" si="1"/>
        <v>Agree</v>
      </c>
      <c r="F60" s="3" t="s">
        <v>9</v>
      </c>
    </row>
    <row r="61" spans="1:6" ht="64.5" customHeight="1" x14ac:dyDescent="0.25">
      <c r="A61" s="5">
        <v>3384</v>
      </c>
      <c r="B61" s="5" t="s">
        <v>80</v>
      </c>
      <c r="C61" s="5" t="s">
        <v>9</v>
      </c>
      <c r="D61" s="5" t="s">
        <v>9</v>
      </c>
      <c r="E61" s="3" t="str">
        <f t="shared" si="1"/>
        <v>Agree</v>
      </c>
      <c r="F61" s="3" t="s">
        <v>9</v>
      </c>
    </row>
    <row r="62" spans="1:6" ht="64.5" customHeight="1" x14ac:dyDescent="0.25">
      <c r="A62" s="5">
        <v>3394</v>
      </c>
      <c r="B62" s="5" t="s">
        <v>81</v>
      </c>
      <c r="C62" s="5" t="s">
        <v>6</v>
      </c>
      <c r="D62" s="5" t="s">
        <v>6</v>
      </c>
      <c r="E62" s="3" t="str">
        <f t="shared" si="1"/>
        <v>Agree</v>
      </c>
      <c r="F62" s="3" t="s">
        <v>6</v>
      </c>
    </row>
    <row r="63" spans="1:6" ht="64.5" customHeight="1" x14ac:dyDescent="0.25">
      <c r="A63" s="5">
        <v>3396</v>
      </c>
      <c r="B63" s="5" t="s">
        <v>82</v>
      </c>
      <c r="C63" s="5" t="s">
        <v>4</v>
      </c>
      <c r="D63" s="5" t="s">
        <v>4</v>
      </c>
      <c r="E63" s="3" t="str">
        <f t="shared" si="1"/>
        <v>Agree</v>
      </c>
      <c r="F63" s="3" t="s">
        <v>4</v>
      </c>
    </row>
    <row r="64" spans="1:6" ht="64.5" customHeight="1" x14ac:dyDescent="0.25">
      <c r="A64" s="5">
        <v>3408</v>
      </c>
      <c r="B64" s="5" t="s">
        <v>83</v>
      </c>
      <c r="C64" s="5" t="s">
        <v>7</v>
      </c>
      <c r="D64" s="5" t="s">
        <v>7</v>
      </c>
      <c r="E64" s="3" t="str">
        <f t="shared" si="1"/>
        <v>Agree</v>
      </c>
      <c r="F64" s="3" t="s">
        <v>7</v>
      </c>
    </row>
    <row r="65" spans="1:6" ht="64.5" customHeight="1" x14ac:dyDescent="0.25">
      <c r="A65" s="5">
        <v>3409</v>
      </c>
      <c r="B65" s="5" t="s">
        <v>84</v>
      </c>
      <c r="C65" s="5" t="s">
        <v>9</v>
      </c>
      <c r="D65" s="5" t="s">
        <v>7</v>
      </c>
      <c r="E65" s="3" t="str">
        <f t="shared" si="1"/>
        <v>Disagree</v>
      </c>
      <c r="F65" s="5" t="s">
        <v>7</v>
      </c>
    </row>
    <row r="66" spans="1:6" ht="64.5" customHeight="1" x14ac:dyDescent="0.25">
      <c r="A66" s="5">
        <v>3429</v>
      </c>
      <c r="B66" s="5" t="s">
        <v>85</v>
      </c>
      <c r="C66" s="5" t="s">
        <v>8</v>
      </c>
      <c r="D66" s="5" t="s">
        <v>6</v>
      </c>
      <c r="E66" s="3" t="str">
        <f t="shared" ref="E66:E97" si="2">IF(C66=D66,"Agree","Disagree")</f>
        <v>Disagree</v>
      </c>
      <c r="F66" s="5" t="s">
        <v>6</v>
      </c>
    </row>
    <row r="67" spans="1:6" ht="64.5" customHeight="1" x14ac:dyDescent="0.25">
      <c r="A67" s="5">
        <v>3430</v>
      </c>
      <c r="B67" s="5" t="s">
        <v>86</v>
      </c>
      <c r="C67" s="5" t="s">
        <v>10</v>
      </c>
      <c r="D67" s="5" t="s">
        <v>10</v>
      </c>
      <c r="E67" s="3" t="str">
        <f t="shared" si="2"/>
        <v>Agree</v>
      </c>
      <c r="F67" s="3" t="s">
        <v>10</v>
      </c>
    </row>
    <row r="68" spans="1:6" ht="39" customHeight="1" x14ac:dyDescent="0.25">
      <c r="A68" s="5">
        <v>3434</v>
      </c>
      <c r="B68" s="5" t="s">
        <v>87</v>
      </c>
      <c r="C68" s="5" t="s">
        <v>9</v>
      </c>
      <c r="D68" s="5" t="s">
        <v>9</v>
      </c>
      <c r="E68" s="3" t="str">
        <f t="shared" si="2"/>
        <v>Agree</v>
      </c>
      <c r="F68" s="3" t="s">
        <v>9</v>
      </c>
    </row>
    <row r="69" spans="1:6" ht="64.5" customHeight="1" x14ac:dyDescent="0.25">
      <c r="A69" s="5">
        <v>3438</v>
      </c>
      <c r="B69" s="5" t="s">
        <v>88</v>
      </c>
      <c r="C69" s="5" t="s">
        <v>4</v>
      </c>
      <c r="D69" s="5" t="s">
        <v>4</v>
      </c>
      <c r="E69" s="3" t="str">
        <f t="shared" si="2"/>
        <v>Agree</v>
      </c>
      <c r="F69" s="3" t="s">
        <v>4</v>
      </c>
    </row>
    <row r="70" spans="1:6" ht="64.5" customHeight="1" x14ac:dyDescent="0.25">
      <c r="A70" s="5">
        <v>3442</v>
      </c>
      <c r="B70" s="5" t="s">
        <v>89</v>
      </c>
      <c r="C70" s="5" t="s">
        <v>8</v>
      </c>
      <c r="D70" s="5" t="s">
        <v>8</v>
      </c>
      <c r="E70" s="3" t="str">
        <f t="shared" si="2"/>
        <v>Agree</v>
      </c>
      <c r="F70" s="3" t="s">
        <v>8</v>
      </c>
    </row>
    <row r="71" spans="1:6" ht="51.75" customHeight="1" x14ac:dyDescent="0.25">
      <c r="A71" s="5">
        <v>3443</v>
      </c>
      <c r="B71" s="5" t="s">
        <v>90</v>
      </c>
      <c r="C71" s="5" t="s">
        <v>7</v>
      </c>
      <c r="D71" s="5" t="s">
        <v>7</v>
      </c>
      <c r="E71" s="3" t="str">
        <f t="shared" si="2"/>
        <v>Agree</v>
      </c>
      <c r="F71" s="3" t="s">
        <v>7</v>
      </c>
    </row>
    <row r="72" spans="1:6" ht="64.5" customHeight="1" x14ac:dyDescent="0.25">
      <c r="A72" s="5">
        <v>3444</v>
      </c>
      <c r="B72" s="5" t="s">
        <v>91</v>
      </c>
      <c r="C72" s="5" t="s">
        <v>7</v>
      </c>
      <c r="D72" s="5" t="s">
        <v>7</v>
      </c>
      <c r="E72" s="3" t="str">
        <f t="shared" si="2"/>
        <v>Agree</v>
      </c>
      <c r="F72" s="3" t="s">
        <v>7</v>
      </c>
    </row>
    <row r="73" spans="1:6" ht="39" customHeight="1" x14ac:dyDescent="0.25">
      <c r="A73" s="5">
        <v>3446</v>
      </c>
      <c r="B73" s="5" t="s">
        <v>92</v>
      </c>
      <c r="C73" s="5" t="s">
        <v>4</v>
      </c>
      <c r="D73" s="5" t="s">
        <v>4</v>
      </c>
      <c r="E73" s="3" t="str">
        <f t="shared" si="2"/>
        <v>Agree</v>
      </c>
      <c r="F73" s="3" t="s">
        <v>4</v>
      </c>
    </row>
    <row r="74" spans="1:6" ht="39" customHeight="1" x14ac:dyDescent="0.25">
      <c r="A74" s="5">
        <v>3455</v>
      </c>
      <c r="B74" s="5" t="s">
        <v>93</v>
      </c>
      <c r="C74" s="5" t="s">
        <v>6</v>
      </c>
      <c r="D74" s="5" t="s">
        <v>6</v>
      </c>
      <c r="E74" s="3" t="str">
        <f t="shared" si="2"/>
        <v>Agree</v>
      </c>
      <c r="F74" s="3" t="s">
        <v>6</v>
      </c>
    </row>
    <row r="75" spans="1:6" ht="25.5" customHeight="1" x14ac:dyDescent="0.25">
      <c r="A75" s="5">
        <v>3463</v>
      </c>
      <c r="B75" s="5" t="s">
        <v>94</v>
      </c>
      <c r="C75" s="5" t="s">
        <v>9</v>
      </c>
      <c r="D75" s="5" t="s">
        <v>9</v>
      </c>
      <c r="E75" s="3" t="str">
        <f t="shared" si="2"/>
        <v>Agree</v>
      </c>
      <c r="F75" s="3" t="s">
        <v>9</v>
      </c>
    </row>
    <row r="76" spans="1:6" ht="51.75" customHeight="1" x14ac:dyDescent="0.25">
      <c r="A76" s="5">
        <v>3468</v>
      </c>
      <c r="B76" s="5" t="s">
        <v>95</v>
      </c>
      <c r="C76" s="5" t="s">
        <v>5</v>
      </c>
      <c r="D76" s="5" t="s">
        <v>5</v>
      </c>
      <c r="E76" s="3" t="str">
        <f t="shared" si="2"/>
        <v>Agree</v>
      </c>
      <c r="F76" s="3" t="s">
        <v>5</v>
      </c>
    </row>
    <row r="77" spans="1:6" ht="64.5" customHeight="1" x14ac:dyDescent="0.25">
      <c r="A77" s="5">
        <v>3472</v>
      </c>
      <c r="B77" s="5" t="s">
        <v>96</v>
      </c>
      <c r="C77" s="5" t="s">
        <v>4</v>
      </c>
      <c r="D77" s="5" t="s">
        <v>4</v>
      </c>
      <c r="E77" s="3" t="str">
        <f t="shared" si="2"/>
        <v>Agree</v>
      </c>
      <c r="F77" s="3" t="s">
        <v>4</v>
      </c>
    </row>
    <row r="78" spans="1:6" ht="64.5" customHeight="1" x14ac:dyDescent="0.25">
      <c r="A78" s="5">
        <v>3475</v>
      </c>
      <c r="B78" s="5" t="s">
        <v>97</v>
      </c>
      <c r="C78" s="5" t="s">
        <v>4</v>
      </c>
      <c r="D78" s="5" t="s">
        <v>4</v>
      </c>
      <c r="E78" s="3" t="str">
        <f t="shared" si="2"/>
        <v>Agree</v>
      </c>
      <c r="F78" s="3" t="s">
        <v>4</v>
      </c>
    </row>
    <row r="79" spans="1:6" ht="64.5" customHeight="1" x14ac:dyDescent="0.25">
      <c r="A79" s="5">
        <v>3476</v>
      </c>
      <c r="B79" s="5" t="s">
        <v>98</v>
      </c>
      <c r="C79" s="5" t="s">
        <v>10</v>
      </c>
      <c r="D79" s="5" t="s">
        <v>10</v>
      </c>
      <c r="E79" s="3" t="str">
        <f t="shared" si="2"/>
        <v>Agree</v>
      </c>
      <c r="F79" s="3" t="s">
        <v>10</v>
      </c>
    </row>
    <row r="80" spans="1:6" ht="64.5" customHeight="1" x14ac:dyDescent="0.25">
      <c r="A80" s="5">
        <v>3484</v>
      </c>
      <c r="B80" s="5" t="s">
        <v>99</v>
      </c>
      <c r="C80" s="5" t="s">
        <v>10</v>
      </c>
      <c r="D80" s="5" t="s">
        <v>4</v>
      </c>
      <c r="E80" s="3" t="str">
        <f t="shared" si="2"/>
        <v>Disagree</v>
      </c>
      <c r="F80" s="5" t="s">
        <v>10</v>
      </c>
    </row>
    <row r="81" spans="1:6" ht="64.5" customHeight="1" x14ac:dyDescent="0.25">
      <c r="A81" s="5">
        <v>3510</v>
      </c>
      <c r="B81" s="5" t="s">
        <v>100</v>
      </c>
      <c r="C81" s="5" t="s">
        <v>9</v>
      </c>
      <c r="D81" s="5" t="s">
        <v>9</v>
      </c>
      <c r="E81" s="3" t="str">
        <f t="shared" si="2"/>
        <v>Agree</v>
      </c>
      <c r="F81" s="3" t="s">
        <v>9</v>
      </c>
    </row>
    <row r="82" spans="1:6" ht="39" customHeight="1" x14ac:dyDescent="0.25">
      <c r="A82" s="5">
        <v>3513</v>
      </c>
      <c r="B82" s="5" t="s">
        <v>101</v>
      </c>
      <c r="C82" s="5" t="s">
        <v>8</v>
      </c>
      <c r="D82" s="5" t="s">
        <v>8</v>
      </c>
      <c r="E82" s="3" t="str">
        <f t="shared" si="2"/>
        <v>Agree</v>
      </c>
      <c r="F82" s="3" t="s">
        <v>8</v>
      </c>
    </row>
    <row r="83" spans="1:6" ht="51.75" customHeight="1" x14ac:dyDescent="0.25">
      <c r="A83" s="5">
        <v>3521</v>
      </c>
      <c r="B83" s="5" t="s">
        <v>102</v>
      </c>
      <c r="C83" s="5" t="s">
        <v>6</v>
      </c>
      <c r="D83" s="5" t="s">
        <v>6</v>
      </c>
      <c r="E83" s="3" t="str">
        <f t="shared" si="2"/>
        <v>Agree</v>
      </c>
      <c r="F83" s="3" t="s">
        <v>6</v>
      </c>
    </row>
    <row r="84" spans="1:6" ht="64.5" customHeight="1" x14ac:dyDescent="0.25">
      <c r="A84" s="5">
        <v>3525</v>
      </c>
      <c r="B84" s="5" t="s">
        <v>103</v>
      </c>
      <c r="C84" s="5" t="s">
        <v>7</v>
      </c>
      <c r="D84" s="5" t="s">
        <v>7</v>
      </c>
      <c r="E84" s="3" t="str">
        <f t="shared" si="2"/>
        <v>Agree</v>
      </c>
      <c r="F84" s="3" t="s">
        <v>7</v>
      </c>
    </row>
    <row r="85" spans="1:6" ht="64.5" customHeight="1" x14ac:dyDescent="0.25">
      <c r="A85" s="5">
        <v>3530</v>
      </c>
      <c r="B85" s="5" t="s">
        <v>104</v>
      </c>
      <c r="C85" s="5" t="s">
        <v>8</v>
      </c>
      <c r="D85" s="5" t="s">
        <v>9</v>
      </c>
      <c r="E85" s="3" t="str">
        <f t="shared" si="2"/>
        <v>Disagree</v>
      </c>
      <c r="F85" s="5" t="s">
        <v>9</v>
      </c>
    </row>
    <row r="86" spans="1:6" ht="51.75" customHeight="1" x14ac:dyDescent="0.25">
      <c r="A86" s="5">
        <v>3540</v>
      </c>
      <c r="B86" s="5" t="s">
        <v>105</v>
      </c>
      <c r="C86" s="5" t="s">
        <v>8</v>
      </c>
      <c r="D86" s="5" t="s">
        <v>8</v>
      </c>
      <c r="E86" s="3" t="str">
        <f t="shared" si="2"/>
        <v>Agree</v>
      </c>
      <c r="F86" s="3" t="s">
        <v>8</v>
      </c>
    </row>
    <row r="87" spans="1:6" ht="64.5" customHeight="1" x14ac:dyDescent="0.25">
      <c r="A87" s="5">
        <v>3546</v>
      </c>
      <c r="B87" s="5" t="s">
        <v>106</v>
      </c>
      <c r="C87" s="5" t="s">
        <v>6</v>
      </c>
      <c r="D87" s="5" t="s">
        <v>6</v>
      </c>
      <c r="E87" s="3" t="str">
        <f t="shared" si="2"/>
        <v>Agree</v>
      </c>
      <c r="F87" s="3" t="s">
        <v>6</v>
      </c>
    </row>
    <row r="88" spans="1:6" ht="64.5" customHeight="1" x14ac:dyDescent="0.25">
      <c r="A88" s="5">
        <v>3550</v>
      </c>
      <c r="B88" s="5" t="s">
        <v>107</v>
      </c>
      <c r="C88" s="5" t="s">
        <v>10</v>
      </c>
      <c r="D88" s="5" t="s">
        <v>10</v>
      </c>
      <c r="E88" s="3" t="str">
        <f t="shared" si="2"/>
        <v>Agree</v>
      </c>
      <c r="F88" s="3" t="s">
        <v>10</v>
      </c>
    </row>
    <row r="89" spans="1:6" ht="64.5" customHeight="1" x14ac:dyDescent="0.25">
      <c r="A89" s="5">
        <v>3559</v>
      </c>
      <c r="B89" s="5" t="s">
        <v>108</v>
      </c>
      <c r="C89" s="5" t="s">
        <v>9</v>
      </c>
      <c r="D89" s="5" t="s">
        <v>9</v>
      </c>
      <c r="E89" s="3" t="str">
        <f t="shared" si="2"/>
        <v>Agree</v>
      </c>
      <c r="F89" s="3" t="s">
        <v>9</v>
      </c>
    </row>
    <row r="90" spans="1:6" ht="64.5" customHeight="1" x14ac:dyDescent="0.25">
      <c r="A90" s="5">
        <v>3568</v>
      </c>
      <c r="B90" s="5" t="s">
        <v>109</v>
      </c>
      <c r="C90" s="5" t="s">
        <v>4</v>
      </c>
      <c r="D90" s="5" t="s">
        <v>4</v>
      </c>
      <c r="E90" s="3" t="str">
        <f t="shared" si="2"/>
        <v>Agree</v>
      </c>
      <c r="F90" s="3" t="s">
        <v>4</v>
      </c>
    </row>
    <row r="91" spans="1:6" ht="51.75" customHeight="1" x14ac:dyDescent="0.25">
      <c r="A91" s="5">
        <v>3574</v>
      </c>
      <c r="B91" s="5" t="s">
        <v>110</v>
      </c>
      <c r="C91" s="5" t="s">
        <v>4</v>
      </c>
      <c r="D91" s="5" t="s">
        <v>4</v>
      </c>
      <c r="E91" s="3" t="str">
        <f t="shared" si="2"/>
        <v>Agree</v>
      </c>
      <c r="F91" s="3" t="s">
        <v>4</v>
      </c>
    </row>
    <row r="92" spans="1:6" ht="64.5" customHeight="1" x14ac:dyDescent="0.25">
      <c r="A92" s="5">
        <v>3584</v>
      </c>
      <c r="B92" s="5" t="s">
        <v>111</v>
      </c>
      <c r="C92" s="5" t="s">
        <v>7</v>
      </c>
      <c r="D92" s="5" t="s">
        <v>7</v>
      </c>
      <c r="E92" s="3" t="str">
        <f t="shared" si="2"/>
        <v>Agree</v>
      </c>
      <c r="F92" s="3" t="s">
        <v>7</v>
      </c>
    </row>
    <row r="93" spans="1:6" ht="25.5" customHeight="1" x14ac:dyDescent="0.25">
      <c r="A93" s="5">
        <v>3587</v>
      </c>
      <c r="B93" s="5" t="s">
        <v>112</v>
      </c>
      <c r="C93" s="5" t="s">
        <v>8</v>
      </c>
      <c r="D93" s="5" t="s">
        <v>8</v>
      </c>
      <c r="E93" s="3" t="str">
        <f t="shared" si="2"/>
        <v>Agree</v>
      </c>
      <c r="F93" s="3" t="s">
        <v>8</v>
      </c>
    </row>
    <row r="94" spans="1:6" ht="64.5" customHeight="1" x14ac:dyDescent="0.25">
      <c r="A94" s="5">
        <v>3595</v>
      </c>
      <c r="B94" s="5" t="s">
        <v>113</v>
      </c>
      <c r="C94" s="5" t="s">
        <v>9</v>
      </c>
      <c r="D94" s="5" t="s">
        <v>9</v>
      </c>
      <c r="E94" s="3" t="str">
        <f t="shared" si="2"/>
        <v>Agree</v>
      </c>
      <c r="F94" s="3" t="s">
        <v>9</v>
      </c>
    </row>
    <row r="95" spans="1:6" ht="39" customHeight="1" x14ac:dyDescent="0.25">
      <c r="A95" s="5">
        <v>3617</v>
      </c>
      <c r="B95" s="5" t="s">
        <v>114</v>
      </c>
      <c r="C95" s="5" t="s">
        <v>6</v>
      </c>
      <c r="D95" s="5" t="s">
        <v>6</v>
      </c>
      <c r="E95" s="3" t="str">
        <f t="shared" si="2"/>
        <v>Agree</v>
      </c>
      <c r="F95" s="3" t="s">
        <v>6</v>
      </c>
    </row>
    <row r="96" spans="1:6" ht="64.5" customHeight="1" x14ac:dyDescent="0.25">
      <c r="A96" s="5">
        <v>3619</v>
      </c>
      <c r="B96" s="5" t="s">
        <v>115</v>
      </c>
      <c r="C96" s="5" t="s">
        <v>8</v>
      </c>
      <c r="D96" s="5" t="s">
        <v>8</v>
      </c>
      <c r="E96" s="3" t="str">
        <f t="shared" si="2"/>
        <v>Agree</v>
      </c>
      <c r="F96" s="3" t="s">
        <v>8</v>
      </c>
    </row>
    <row r="97" spans="1:6" ht="39" customHeight="1" x14ac:dyDescent="0.25">
      <c r="A97" s="5">
        <v>3621</v>
      </c>
      <c r="B97" s="5" t="s">
        <v>116</v>
      </c>
      <c r="C97" s="5" t="s">
        <v>6</v>
      </c>
      <c r="D97" s="5" t="s">
        <v>8</v>
      </c>
      <c r="E97" s="3" t="str">
        <f t="shared" si="2"/>
        <v>Disagree</v>
      </c>
      <c r="F97" s="5" t="s">
        <v>8</v>
      </c>
    </row>
    <row r="98" spans="1:6" ht="64.5" customHeight="1" x14ac:dyDescent="0.25">
      <c r="A98" s="5">
        <v>3622</v>
      </c>
      <c r="B98" s="5" t="s">
        <v>117</v>
      </c>
      <c r="C98" s="5" t="s">
        <v>8</v>
      </c>
      <c r="D98" s="5" t="s">
        <v>8</v>
      </c>
      <c r="E98" s="3" t="str">
        <f t="shared" ref="E98:E129" si="3">IF(C98=D98,"Agree","Disagree")</f>
        <v>Agree</v>
      </c>
      <c r="F98" s="3" t="s">
        <v>8</v>
      </c>
    </row>
    <row r="99" spans="1:6" ht="25.5" customHeight="1" x14ac:dyDescent="0.25">
      <c r="A99" s="5">
        <v>3627</v>
      </c>
      <c r="B99" s="5" t="s">
        <v>118</v>
      </c>
      <c r="C99" s="5" t="s">
        <v>4</v>
      </c>
      <c r="D99" s="5" t="s">
        <v>4</v>
      </c>
      <c r="E99" s="3" t="str">
        <f t="shared" si="3"/>
        <v>Agree</v>
      </c>
      <c r="F99" s="3" t="s">
        <v>4</v>
      </c>
    </row>
    <row r="100" spans="1:6" ht="64.5" customHeight="1" x14ac:dyDescent="0.25">
      <c r="A100" s="5">
        <v>3639</v>
      </c>
      <c r="B100" s="5" t="s">
        <v>119</v>
      </c>
      <c r="C100" s="5" t="s">
        <v>7</v>
      </c>
      <c r="D100" s="5" t="s">
        <v>7</v>
      </c>
      <c r="E100" s="3" t="str">
        <f t="shared" si="3"/>
        <v>Agree</v>
      </c>
      <c r="F100" s="3" t="s">
        <v>7</v>
      </c>
    </row>
    <row r="101" spans="1:6" ht="64.5" customHeight="1" x14ac:dyDescent="0.25">
      <c r="A101" s="5">
        <v>3647</v>
      </c>
      <c r="B101" s="5" t="s">
        <v>120</v>
      </c>
      <c r="C101" s="5" t="s">
        <v>9</v>
      </c>
      <c r="D101" s="5" t="s">
        <v>9</v>
      </c>
      <c r="E101" s="3" t="str">
        <f t="shared" si="3"/>
        <v>Agree</v>
      </c>
      <c r="F101" s="3" t="s">
        <v>9</v>
      </c>
    </row>
    <row r="102" spans="1:6" ht="51.75" customHeight="1" x14ac:dyDescent="0.25">
      <c r="A102" s="5">
        <v>3651</v>
      </c>
      <c r="B102" s="5" t="s">
        <v>121</v>
      </c>
      <c r="C102" s="5" t="s">
        <v>8</v>
      </c>
      <c r="D102" s="5" t="s">
        <v>8</v>
      </c>
      <c r="E102" s="3" t="str">
        <f t="shared" si="3"/>
        <v>Agree</v>
      </c>
      <c r="F102" s="3" t="s">
        <v>8</v>
      </c>
    </row>
    <row r="103" spans="1:6" ht="51.75" customHeight="1" x14ac:dyDescent="0.25">
      <c r="A103" s="5">
        <v>3654</v>
      </c>
      <c r="B103" s="5" t="s">
        <v>122</v>
      </c>
      <c r="C103" s="5" t="s">
        <v>8</v>
      </c>
      <c r="D103" s="5" t="s">
        <v>8</v>
      </c>
      <c r="E103" s="3" t="str">
        <f t="shared" si="3"/>
        <v>Agree</v>
      </c>
      <c r="F103" s="3" t="s">
        <v>8</v>
      </c>
    </row>
    <row r="104" spans="1:6" ht="64.5" customHeight="1" x14ac:dyDescent="0.25">
      <c r="A104" s="5">
        <v>3661</v>
      </c>
      <c r="B104" s="5" t="s">
        <v>123</v>
      </c>
      <c r="C104" s="5" t="s">
        <v>6</v>
      </c>
      <c r="D104" s="5" t="s">
        <v>6</v>
      </c>
      <c r="E104" s="3" t="str">
        <f t="shared" si="3"/>
        <v>Agree</v>
      </c>
      <c r="F104" s="3" t="s">
        <v>6</v>
      </c>
    </row>
    <row r="105" spans="1:6" ht="64.5" customHeight="1" x14ac:dyDescent="0.25">
      <c r="A105" s="5">
        <v>3663</v>
      </c>
      <c r="B105" s="5" t="s">
        <v>124</v>
      </c>
      <c r="C105" s="5" t="s">
        <v>8</v>
      </c>
      <c r="D105" s="5" t="s">
        <v>8</v>
      </c>
      <c r="E105" s="3" t="str">
        <f t="shared" si="3"/>
        <v>Agree</v>
      </c>
      <c r="F105" s="3" t="s">
        <v>8</v>
      </c>
    </row>
    <row r="106" spans="1:6" ht="64.5" customHeight="1" x14ac:dyDescent="0.25">
      <c r="A106" s="5">
        <v>3665</v>
      </c>
      <c r="B106" s="5" t="s">
        <v>125</v>
      </c>
      <c r="C106" s="5" t="s">
        <v>10</v>
      </c>
      <c r="D106" s="5" t="s">
        <v>4</v>
      </c>
      <c r="E106" s="3" t="str">
        <f t="shared" si="3"/>
        <v>Disagree</v>
      </c>
      <c r="F106" s="5" t="s">
        <v>10</v>
      </c>
    </row>
    <row r="107" spans="1:6" ht="39" customHeight="1" x14ac:dyDescent="0.25">
      <c r="A107" s="5">
        <v>3666</v>
      </c>
      <c r="B107" s="5" t="s">
        <v>126</v>
      </c>
      <c r="C107" s="5" t="s">
        <v>9</v>
      </c>
      <c r="D107" s="5" t="s">
        <v>9</v>
      </c>
      <c r="E107" s="3" t="str">
        <f t="shared" si="3"/>
        <v>Agree</v>
      </c>
      <c r="F107" s="3" t="s">
        <v>9</v>
      </c>
    </row>
    <row r="108" spans="1:6" ht="64.5" customHeight="1" x14ac:dyDescent="0.25">
      <c r="A108" s="5">
        <v>3680</v>
      </c>
      <c r="B108" s="5" t="s">
        <v>127</v>
      </c>
      <c r="C108" s="5" t="s">
        <v>5</v>
      </c>
      <c r="D108" s="5" t="s">
        <v>5</v>
      </c>
      <c r="E108" s="3" t="str">
        <f t="shared" si="3"/>
        <v>Agree</v>
      </c>
      <c r="F108" s="3" t="s">
        <v>5</v>
      </c>
    </row>
    <row r="109" spans="1:6" ht="64.5" customHeight="1" x14ac:dyDescent="0.25">
      <c r="A109" s="5">
        <v>3687</v>
      </c>
      <c r="B109" s="5" t="s">
        <v>128</v>
      </c>
      <c r="C109" s="5" t="s">
        <v>9</v>
      </c>
      <c r="D109" s="5" t="s">
        <v>9</v>
      </c>
      <c r="E109" s="3" t="str">
        <f t="shared" si="3"/>
        <v>Agree</v>
      </c>
      <c r="F109" s="3" t="s">
        <v>9</v>
      </c>
    </row>
    <row r="110" spans="1:6" ht="64.5" customHeight="1" x14ac:dyDescent="0.25">
      <c r="A110" s="5">
        <v>3694</v>
      </c>
      <c r="B110" s="5" t="s">
        <v>129</v>
      </c>
      <c r="C110" s="5" t="s">
        <v>9</v>
      </c>
      <c r="D110" s="5" t="s">
        <v>9</v>
      </c>
      <c r="E110" s="3" t="str">
        <f t="shared" si="3"/>
        <v>Agree</v>
      </c>
      <c r="F110" s="3" t="s">
        <v>9</v>
      </c>
    </row>
    <row r="111" spans="1:6" ht="64.5" customHeight="1" x14ac:dyDescent="0.25">
      <c r="A111" s="5">
        <v>3713</v>
      </c>
      <c r="B111" s="5" t="s">
        <v>130</v>
      </c>
      <c r="C111" s="5" t="s">
        <v>4</v>
      </c>
      <c r="D111" s="5" t="s">
        <v>4</v>
      </c>
      <c r="E111" s="3" t="str">
        <f t="shared" si="3"/>
        <v>Agree</v>
      </c>
      <c r="F111" s="3" t="s">
        <v>4</v>
      </c>
    </row>
    <row r="112" spans="1:6" ht="64.5" customHeight="1" x14ac:dyDescent="0.25">
      <c r="A112" s="5">
        <v>3715</v>
      </c>
      <c r="B112" s="5" t="s">
        <v>131</v>
      </c>
      <c r="C112" s="5" t="s">
        <v>7</v>
      </c>
      <c r="D112" s="5" t="s">
        <v>7</v>
      </c>
      <c r="E112" s="3" t="str">
        <f t="shared" si="3"/>
        <v>Agree</v>
      </c>
      <c r="F112" s="3" t="s">
        <v>7</v>
      </c>
    </row>
    <row r="113" spans="1:6" ht="64.5" customHeight="1" x14ac:dyDescent="0.25">
      <c r="A113" s="5">
        <v>3723</v>
      </c>
      <c r="B113" s="5" t="s">
        <v>132</v>
      </c>
      <c r="C113" s="5" t="s">
        <v>6</v>
      </c>
      <c r="D113" s="5" t="s">
        <v>6</v>
      </c>
      <c r="E113" s="3" t="str">
        <f t="shared" si="3"/>
        <v>Agree</v>
      </c>
      <c r="F113" s="3" t="s">
        <v>6</v>
      </c>
    </row>
    <row r="114" spans="1:6" ht="25.5" customHeight="1" x14ac:dyDescent="0.25">
      <c r="A114" s="5">
        <v>3734</v>
      </c>
      <c r="B114" s="5" t="s">
        <v>133</v>
      </c>
      <c r="C114" s="5" t="s">
        <v>5</v>
      </c>
      <c r="D114" s="5" t="s">
        <v>5</v>
      </c>
      <c r="E114" s="3" t="str">
        <f t="shared" si="3"/>
        <v>Agree</v>
      </c>
      <c r="F114" s="3" t="s">
        <v>5</v>
      </c>
    </row>
    <row r="115" spans="1:6" ht="64.5" customHeight="1" x14ac:dyDescent="0.25">
      <c r="A115" s="5">
        <v>3739</v>
      </c>
      <c r="B115" s="5" t="s">
        <v>134</v>
      </c>
      <c r="C115" s="5" t="s">
        <v>6</v>
      </c>
      <c r="D115" s="5" t="s">
        <v>6</v>
      </c>
      <c r="E115" s="3" t="str">
        <f t="shared" si="3"/>
        <v>Agree</v>
      </c>
      <c r="F115" s="3" t="s">
        <v>6</v>
      </c>
    </row>
    <row r="116" spans="1:6" ht="64.5" customHeight="1" x14ac:dyDescent="0.25">
      <c r="A116" s="5">
        <v>3752</v>
      </c>
      <c r="B116" s="5" t="s">
        <v>135</v>
      </c>
      <c r="C116" s="5" t="s">
        <v>8</v>
      </c>
      <c r="D116" s="5" t="s">
        <v>8</v>
      </c>
      <c r="E116" s="3" t="str">
        <f t="shared" si="3"/>
        <v>Agree</v>
      </c>
      <c r="F116" s="3" t="s">
        <v>8</v>
      </c>
    </row>
    <row r="117" spans="1:6" ht="64.5" customHeight="1" x14ac:dyDescent="0.25">
      <c r="A117" s="5">
        <v>3765</v>
      </c>
      <c r="B117" s="5" t="s">
        <v>136</v>
      </c>
      <c r="C117" s="5" t="s">
        <v>7</v>
      </c>
      <c r="D117" s="5" t="s">
        <v>7</v>
      </c>
      <c r="E117" s="3" t="str">
        <f t="shared" si="3"/>
        <v>Agree</v>
      </c>
      <c r="F117" s="3" t="s">
        <v>7</v>
      </c>
    </row>
    <row r="118" spans="1:6" ht="51.75" customHeight="1" x14ac:dyDescent="0.25">
      <c r="A118" s="5">
        <v>3767</v>
      </c>
      <c r="B118" s="5" t="s">
        <v>137</v>
      </c>
      <c r="C118" s="5" t="s">
        <v>5</v>
      </c>
      <c r="D118" s="5" t="s">
        <v>5</v>
      </c>
      <c r="E118" s="3" t="str">
        <f t="shared" si="3"/>
        <v>Agree</v>
      </c>
      <c r="F118" s="3" t="s">
        <v>5</v>
      </c>
    </row>
    <row r="119" spans="1:6" ht="39" customHeight="1" x14ac:dyDescent="0.25">
      <c r="A119" s="5">
        <v>3773</v>
      </c>
      <c r="B119" s="5" t="s">
        <v>138</v>
      </c>
      <c r="C119" s="5" t="s">
        <v>6</v>
      </c>
      <c r="D119" s="5" t="s">
        <v>6</v>
      </c>
      <c r="E119" s="3" t="str">
        <f t="shared" si="3"/>
        <v>Agree</v>
      </c>
      <c r="F119" s="3" t="s">
        <v>6</v>
      </c>
    </row>
    <row r="120" spans="1:6" ht="64.5" customHeight="1" x14ac:dyDescent="0.25">
      <c r="A120" s="5">
        <v>3787</v>
      </c>
      <c r="B120" s="5" t="s">
        <v>139</v>
      </c>
      <c r="C120" s="5" t="s">
        <v>4</v>
      </c>
      <c r="D120" s="5" t="s">
        <v>4</v>
      </c>
      <c r="E120" s="3" t="str">
        <f t="shared" si="3"/>
        <v>Agree</v>
      </c>
      <c r="F120" s="3" t="s">
        <v>4</v>
      </c>
    </row>
    <row r="121" spans="1:6" ht="51.75" customHeight="1" x14ac:dyDescent="0.25">
      <c r="A121" s="5">
        <v>3796</v>
      </c>
      <c r="B121" s="5" t="s">
        <v>140</v>
      </c>
      <c r="C121" s="5" t="s">
        <v>10</v>
      </c>
      <c r="D121" s="5" t="s">
        <v>4</v>
      </c>
      <c r="E121" s="3" t="str">
        <f t="shared" si="3"/>
        <v>Disagree</v>
      </c>
      <c r="F121" s="5" t="s">
        <v>10</v>
      </c>
    </row>
    <row r="122" spans="1:6" ht="51.75" customHeight="1" x14ac:dyDescent="0.25">
      <c r="A122" s="5">
        <v>3801</v>
      </c>
      <c r="B122" s="5" t="s">
        <v>141</v>
      </c>
      <c r="C122" s="5" t="s">
        <v>7</v>
      </c>
      <c r="D122" s="5" t="s">
        <v>7</v>
      </c>
      <c r="E122" s="3" t="str">
        <f t="shared" si="3"/>
        <v>Agree</v>
      </c>
      <c r="F122" s="3" t="s">
        <v>7</v>
      </c>
    </row>
    <row r="123" spans="1:6" ht="64.5" customHeight="1" x14ac:dyDescent="0.25">
      <c r="A123" s="5">
        <v>3811</v>
      </c>
      <c r="B123" s="5" t="s">
        <v>142</v>
      </c>
      <c r="C123" s="5" t="s">
        <v>6</v>
      </c>
      <c r="D123" s="5" t="s">
        <v>6</v>
      </c>
      <c r="E123" s="3" t="str">
        <f t="shared" si="3"/>
        <v>Agree</v>
      </c>
      <c r="F123" s="3" t="s">
        <v>6</v>
      </c>
    </row>
    <row r="124" spans="1:6" ht="64.5" customHeight="1" x14ac:dyDescent="0.25">
      <c r="A124" s="5">
        <v>3816</v>
      </c>
      <c r="B124" s="5" t="s">
        <v>143</v>
      </c>
      <c r="C124" s="5" t="s">
        <v>4</v>
      </c>
      <c r="D124" s="5" t="s">
        <v>4</v>
      </c>
      <c r="E124" s="3" t="str">
        <f t="shared" si="3"/>
        <v>Agree</v>
      </c>
      <c r="F124" s="3" t="s">
        <v>4</v>
      </c>
    </row>
    <row r="125" spans="1:6" ht="39" customHeight="1" x14ac:dyDescent="0.25">
      <c r="A125" s="5">
        <v>3819</v>
      </c>
      <c r="B125" s="5" t="s">
        <v>144</v>
      </c>
      <c r="C125" s="5" t="s">
        <v>9</v>
      </c>
      <c r="D125" s="5" t="s">
        <v>9</v>
      </c>
      <c r="E125" s="3" t="str">
        <f t="shared" si="3"/>
        <v>Agree</v>
      </c>
      <c r="F125" s="3" t="s">
        <v>9</v>
      </c>
    </row>
    <row r="126" spans="1:6" ht="64.5" customHeight="1" x14ac:dyDescent="0.25">
      <c r="A126" s="5">
        <v>3822</v>
      </c>
      <c r="B126" s="5" t="s">
        <v>145</v>
      </c>
      <c r="C126" s="5" t="s">
        <v>6</v>
      </c>
      <c r="D126" s="5" t="s">
        <v>8</v>
      </c>
      <c r="E126" s="3" t="str">
        <f t="shared" si="3"/>
        <v>Disagree</v>
      </c>
      <c r="F126" s="5" t="s">
        <v>8</v>
      </c>
    </row>
    <row r="127" spans="1:6" ht="64.5" customHeight="1" x14ac:dyDescent="0.25">
      <c r="A127" s="5">
        <v>3826</v>
      </c>
      <c r="B127" s="5" t="s">
        <v>146</v>
      </c>
      <c r="C127" s="5" t="s">
        <v>10</v>
      </c>
      <c r="D127" s="5" t="s">
        <v>10</v>
      </c>
      <c r="E127" s="3" t="str">
        <f t="shared" si="3"/>
        <v>Agree</v>
      </c>
      <c r="F127" s="3" t="s">
        <v>10</v>
      </c>
    </row>
    <row r="128" spans="1:6" ht="39" customHeight="1" x14ac:dyDescent="0.25">
      <c r="A128" s="5">
        <v>3828</v>
      </c>
      <c r="B128" s="5" t="s">
        <v>147</v>
      </c>
      <c r="C128" s="5" t="s">
        <v>6</v>
      </c>
      <c r="D128" s="5" t="s">
        <v>8</v>
      </c>
      <c r="E128" s="3" t="str">
        <f t="shared" si="3"/>
        <v>Disagree</v>
      </c>
      <c r="F128" s="5" t="s">
        <v>8</v>
      </c>
    </row>
    <row r="129" spans="1:6" ht="64.5" customHeight="1" x14ac:dyDescent="0.25">
      <c r="A129" s="5">
        <v>3831</v>
      </c>
      <c r="B129" s="5" t="s">
        <v>148</v>
      </c>
      <c r="C129" s="5" t="s">
        <v>6</v>
      </c>
      <c r="D129" s="5" t="s">
        <v>6</v>
      </c>
      <c r="E129" s="3" t="str">
        <f t="shared" si="3"/>
        <v>Agree</v>
      </c>
      <c r="F129" s="3" t="s">
        <v>6</v>
      </c>
    </row>
    <row r="130" spans="1:6" ht="25.5" customHeight="1" x14ac:dyDescent="0.25">
      <c r="A130" s="5">
        <v>3837</v>
      </c>
      <c r="B130" s="5" t="s">
        <v>149</v>
      </c>
      <c r="C130" s="5" t="s">
        <v>9</v>
      </c>
      <c r="D130" s="5" t="s">
        <v>9</v>
      </c>
      <c r="E130" s="3" t="str">
        <f t="shared" ref="E130:E161" si="4">IF(C130=D130,"Agree","Disagree")</f>
        <v>Agree</v>
      </c>
      <c r="F130" s="3" t="s">
        <v>9</v>
      </c>
    </row>
    <row r="131" spans="1:6" ht="64.5" customHeight="1" x14ac:dyDescent="0.25">
      <c r="A131" s="5">
        <v>3844</v>
      </c>
      <c r="B131" s="5" t="s">
        <v>150</v>
      </c>
      <c r="C131" s="5" t="s">
        <v>7</v>
      </c>
      <c r="D131" s="5" t="s">
        <v>7</v>
      </c>
      <c r="E131" s="3" t="str">
        <f t="shared" si="4"/>
        <v>Agree</v>
      </c>
      <c r="F131" s="3" t="s">
        <v>7</v>
      </c>
    </row>
    <row r="132" spans="1:6" ht="64.5" customHeight="1" x14ac:dyDescent="0.25">
      <c r="A132" s="5">
        <v>3856</v>
      </c>
      <c r="B132" s="5" t="s">
        <v>151</v>
      </c>
      <c r="C132" s="5" t="s">
        <v>9</v>
      </c>
      <c r="D132" s="5" t="s">
        <v>9</v>
      </c>
      <c r="E132" s="3" t="str">
        <f t="shared" si="4"/>
        <v>Agree</v>
      </c>
      <c r="F132" s="3" t="s">
        <v>9</v>
      </c>
    </row>
    <row r="133" spans="1:6" ht="64.5" customHeight="1" x14ac:dyDescent="0.25">
      <c r="A133" s="5">
        <v>3870</v>
      </c>
      <c r="B133" s="5" t="s">
        <v>152</v>
      </c>
      <c r="C133" s="5" t="s">
        <v>5</v>
      </c>
      <c r="D133" s="5" t="s">
        <v>5</v>
      </c>
      <c r="E133" s="3" t="str">
        <f t="shared" si="4"/>
        <v>Agree</v>
      </c>
      <c r="F133" s="3" t="s">
        <v>5</v>
      </c>
    </row>
    <row r="134" spans="1:6" ht="64.5" customHeight="1" x14ac:dyDescent="0.25">
      <c r="A134" s="5">
        <v>3878</v>
      </c>
      <c r="B134" s="5" t="s">
        <v>153</v>
      </c>
      <c r="C134" s="5" t="s">
        <v>4</v>
      </c>
      <c r="D134" s="5" t="s">
        <v>4</v>
      </c>
      <c r="E134" s="3" t="str">
        <f t="shared" si="4"/>
        <v>Agree</v>
      </c>
      <c r="F134" s="3" t="s">
        <v>4</v>
      </c>
    </row>
    <row r="135" spans="1:6" ht="64.5" customHeight="1" x14ac:dyDescent="0.25">
      <c r="A135" s="5">
        <v>3883</v>
      </c>
      <c r="B135" s="5" t="s">
        <v>154</v>
      </c>
      <c r="C135" s="5" t="s">
        <v>8</v>
      </c>
      <c r="D135" s="5" t="s">
        <v>8</v>
      </c>
      <c r="E135" s="3" t="str">
        <f t="shared" si="4"/>
        <v>Agree</v>
      </c>
      <c r="F135" s="3" t="s">
        <v>8</v>
      </c>
    </row>
    <row r="136" spans="1:6" ht="64.5" customHeight="1" x14ac:dyDescent="0.25">
      <c r="A136" s="5">
        <v>3900</v>
      </c>
      <c r="B136" s="5" t="s">
        <v>155</v>
      </c>
      <c r="C136" s="5" t="s">
        <v>10</v>
      </c>
      <c r="D136" s="5" t="s">
        <v>10</v>
      </c>
      <c r="E136" s="3" t="str">
        <f t="shared" si="4"/>
        <v>Agree</v>
      </c>
      <c r="F136" s="3" t="s">
        <v>10</v>
      </c>
    </row>
    <row r="137" spans="1:6" ht="39" customHeight="1" x14ac:dyDescent="0.25">
      <c r="A137" s="5">
        <v>3909</v>
      </c>
      <c r="B137" s="5" t="s">
        <v>156</v>
      </c>
      <c r="C137" s="5" t="s">
        <v>8</v>
      </c>
      <c r="D137" s="5" t="s">
        <v>8</v>
      </c>
      <c r="E137" s="3" t="str">
        <f t="shared" si="4"/>
        <v>Agree</v>
      </c>
      <c r="F137" s="3" t="s">
        <v>8</v>
      </c>
    </row>
    <row r="138" spans="1:6" ht="64.5" customHeight="1" x14ac:dyDescent="0.25">
      <c r="A138" s="5">
        <v>3917</v>
      </c>
      <c r="B138" s="5" t="s">
        <v>157</v>
      </c>
      <c r="C138" s="5" t="s">
        <v>10</v>
      </c>
      <c r="D138" s="5" t="s">
        <v>10</v>
      </c>
      <c r="E138" s="3" t="str">
        <f t="shared" si="4"/>
        <v>Agree</v>
      </c>
      <c r="F138" s="3" t="s">
        <v>10</v>
      </c>
    </row>
    <row r="139" spans="1:6" ht="64.5" customHeight="1" x14ac:dyDescent="0.25">
      <c r="A139" s="5">
        <v>3920</v>
      </c>
      <c r="B139" s="5" t="s">
        <v>158</v>
      </c>
      <c r="C139" s="5" t="s">
        <v>5</v>
      </c>
      <c r="D139" s="5" t="s">
        <v>5</v>
      </c>
      <c r="E139" s="3" t="str">
        <f t="shared" si="4"/>
        <v>Agree</v>
      </c>
      <c r="F139" s="3" t="s">
        <v>5</v>
      </c>
    </row>
    <row r="140" spans="1:6" ht="39" customHeight="1" x14ac:dyDescent="0.25">
      <c r="A140" s="5">
        <v>3923</v>
      </c>
      <c r="B140" s="5" t="s">
        <v>159</v>
      </c>
      <c r="C140" s="5" t="s">
        <v>7</v>
      </c>
      <c r="D140" s="5" t="s">
        <v>11</v>
      </c>
      <c r="E140" s="3" t="str">
        <f t="shared" si="4"/>
        <v>Disagree</v>
      </c>
      <c r="F140" s="5" t="s">
        <v>7</v>
      </c>
    </row>
    <row r="141" spans="1:6" ht="51.75" customHeight="1" x14ac:dyDescent="0.25">
      <c r="A141" s="5">
        <v>3924</v>
      </c>
      <c r="B141" s="5" t="s">
        <v>160</v>
      </c>
      <c r="C141" s="5" t="s">
        <v>8</v>
      </c>
      <c r="D141" s="5" t="s">
        <v>8</v>
      </c>
      <c r="E141" s="3" t="str">
        <f t="shared" si="4"/>
        <v>Agree</v>
      </c>
      <c r="F141" s="3" t="s">
        <v>8</v>
      </c>
    </row>
    <row r="142" spans="1:6" ht="64.5" customHeight="1" x14ac:dyDescent="0.25">
      <c r="A142" s="5">
        <v>3932</v>
      </c>
      <c r="B142" s="5" t="s">
        <v>161</v>
      </c>
      <c r="C142" s="5" t="s">
        <v>6</v>
      </c>
      <c r="D142" s="5" t="s">
        <v>6</v>
      </c>
      <c r="E142" s="3" t="str">
        <f t="shared" si="4"/>
        <v>Agree</v>
      </c>
      <c r="F142" s="3" t="s">
        <v>6</v>
      </c>
    </row>
    <row r="143" spans="1:6" ht="64.5" customHeight="1" x14ac:dyDescent="0.25">
      <c r="A143" s="5">
        <v>3948</v>
      </c>
      <c r="B143" s="5" t="s">
        <v>162</v>
      </c>
      <c r="C143" s="5" t="s">
        <v>9</v>
      </c>
      <c r="D143" s="5" t="s">
        <v>9</v>
      </c>
      <c r="E143" s="3" t="str">
        <f t="shared" si="4"/>
        <v>Agree</v>
      </c>
      <c r="F143" s="3" t="s">
        <v>9</v>
      </c>
    </row>
    <row r="144" spans="1:6" ht="64.5" customHeight="1" x14ac:dyDescent="0.25">
      <c r="A144" s="5">
        <v>3951</v>
      </c>
      <c r="B144" s="5" t="s">
        <v>163</v>
      </c>
      <c r="C144" s="5" t="s">
        <v>5</v>
      </c>
      <c r="D144" s="5" t="s">
        <v>5</v>
      </c>
      <c r="E144" s="3" t="str">
        <f t="shared" si="4"/>
        <v>Agree</v>
      </c>
      <c r="F144" s="3" t="s">
        <v>5</v>
      </c>
    </row>
    <row r="145" spans="1:6" ht="39" customHeight="1" x14ac:dyDescent="0.25">
      <c r="A145" s="5">
        <v>3955</v>
      </c>
      <c r="B145" s="5" t="s">
        <v>164</v>
      </c>
      <c r="C145" s="5" t="s">
        <v>4</v>
      </c>
      <c r="D145" s="5" t="s">
        <v>4</v>
      </c>
      <c r="E145" s="3" t="str">
        <f t="shared" si="4"/>
        <v>Agree</v>
      </c>
      <c r="F145" s="3" t="s">
        <v>4</v>
      </c>
    </row>
    <row r="146" spans="1:6" ht="64.5" customHeight="1" x14ac:dyDescent="0.25">
      <c r="A146" s="5">
        <v>3957</v>
      </c>
      <c r="B146" s="5" t="s">
        <v>165</v>
      </c>
      <c r="C146" s="5" t="s">
        <v>8</v>
      </c>
      <c r="D146" s="5" t="s">
        <v>8</v>
      </c>
      <c r="E146" s="3" t="str">
        <f t="shared" si="4"/>
        <v>Agree</v>
      </c>
      <c r="F146" s="3" t="s">
        <v>8</v>
      </c>
    </row>
    <row r="147" spans="1:6" ht="39" customHeight="1" x14ac:dyDescent="0.25">
      <c r="A147" s="5">
        <v>3959</v>
      </c>
      <c r="B147" s="5" t="s">
        <v>166</v>
      </c>
      <c r="C147" s="5" t="s">
        <v>5</v>
      </c>
      <c r="D147" s="5" t="s">
        <v>11</v>
      </c>
      <c r="E147" s="3" t="str">
        <f t="shared" si="4"/>
        <v>Disagree</v>
      </c>
      <c r="F147" s="5" t="s">
        <v>5</v>
      </c>
    </row>
    <row r="148" spans="1:6" ht="64.5" customHeight="1" x14ac:dyDescent="0.25">
      <c r="A148" s="5">
        <v>3962</v>
      </c>
      <c r="B148" s="5" t="s">
        <v>167</v>
      </c>
      <c r="C148" s="5" t="s">
        <v>10</v>
      </c>
      <c r="D148" s="5" t="s">
        <v>10</v>
      </c>
      <c r="E148" s="3" t="str">
        <f t="shared" si="4"/>
        <v>Agree</v>
      </c>
      <c r="F148" s="3" t="s">
        <v>10</v>
      </c>
    </row>
    <row r="149" spans="1:6" ht="51.75" customHeight="1" x14ac:dyDescent="0.25">
      <c r="A149" s="5">
        <v>3990</v>
      </c>
      <c r="B149" s="5" t="s">
        <v>168</v>
      </c>
      <c r="C149" s="5" t="s">
        <v>6</v>
      </c>
      <c r="D149" s="5" t="s">
        <v>6</v>
      </c>
      <c r="E149" s="3" t="str">
        <f t="shared" si="4"/>
        <v>Agree</v>
      </c>
      <c r="F149" s="3" t="s">
        <v>6</v>
      </c>
    </row>
    <row r="150" spans="1:6" ht="39" customHeight="1" x14ac:dyDescent="0.25">
      <c r="A150" s="5">
        <v>3991</v>
      </c>
      <c r="B150" s="5" t="s">
        <v>169</v>
      </c>
      <c r="C150" s="5" t="s">
        <v>5</v>
      </c>
      <c r="D150" s="5" t="s">
        <v>5</v>
      </c>
      <c r="E150" s="3" t="str">
        <f t="shared" si="4"/>
        <v>Agree</v>
      </c>
      <c r="F150" s="3" t="s">
        <v>5</v>
      </c>
    </row>
    <row r="151" spans="1:6" ht="64.5" customHeight="1" x14ac:dyDescent="0.25">
      <c r="A151" s="5">
        <v>3998</v>
      </c>
      <c r="B151" s="5" t="s">
        <v>170</v>
      </c>
      <c r="C151" s="5" t="s">
        <v>4</v>
      </c>
      <c r="D151" s="5" t="s">
        <v>4</v>
      </c>
      <c r="E151" s="3" t="str">
        <f t="shared" si="4"/>
        <v>Agree</v>
      </c>
      <c r="F151" s="3" t="s">
        <v>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Agreement</vt:lpstr>
      <vt:lpstr>Labels_150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Shade RK</cp:lastModifiedBy>
  <cp:revision>0</cp:revision>
  <dcterms:created xsi:type="dcterms:W3CDTF">2026-10-07T10:08:10Z</dcterms:created>
  <dcterms:modified xsi:type="dcterms:W3CDTF">2026-10-07T10:50:58Z</dcterms:modified>
  <dc:language>en-US</dc:language>
</cp:coreProperties>
</file>